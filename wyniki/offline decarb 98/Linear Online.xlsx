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 1/offline decarb 98/"/>
    </mc:Choice>
  </mc:AlternateContent>
  <xr:revisionPtr revIDLastSave="18" documentId="11_AD4DADEC636C813AC809E415181B7BC65BDEDD96" xr6:coauthVersionLast="47" xr6:coauthVersionMax="47" xr10:uidLastSave="{4FAACD81-BDDA-433A-9F8F-9937DF96E14E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8" i="1" l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X2" i="1"/>
  <c r="W2" i="1"/>
  <c r="V2" i="1"/>
  <c r="U2" i="1"/>
  <c r="T2" i="1"/>
</calcChain>
</file>

<file path=xl/sharedStrings.xml><?xml version="1.0" encoding="utf-8"?>
<sst xmlns="http://schemas.openxmlformats.org/spreadsheetml/2006/main" count="217" uniqueCount="127">
  <si>
    <t>queue_position</t>
  </si>
  <si>
    <t>worker_id</t>
  </si>
  <si>
    <t>predicted_start_time</t>
  </si>
  <si>
    <t>predicted_end_time</t>
  </si>
  <si>
    <t>predicted_duration_seconds</t>
  </si>
  <si>
    <t>real_start_time</t>
  </si>
  <si>
    <t>real_end_time</t>
  </si>
  <si>
    <t>real_duration_seconds</t>
  </si>
  <si>
    <t>duration_error_seconds</t>
  </si>
  <si>
    <t>duration_abs_error_seconds</t>
  </si>
  <si>
    <t>duration_smape</t>
  </si>
  <si>
    <t>end_time_error_seconds</t>
  </si>
  <si>
    <t>end_time_abs_error_seconds</t>
  </si>
  <si>
    <t>end_time_smape</t>
  </si>
  <si>
    <t>predicted_start_datetime</t>
  </si>
  <si>
    <t>predicted_end_datetime</t>
  </si>
  <si>
    <t>real_start_datetime</t>
  </si>
  <si>
    <t>real_end_datetime</t>
  </si>
  <si>
    <t>27,01,2026  10:17:15</t>
  </si>
  <si>
    <t>27,01,2026  10:17:37</t>
  </si>
  <si>
    <t>27,01,2026  10:17:30</t>
  </si>
  <si>
    <t>27,01,2026  10:17:17</t>
  </si>
  <si>
    <t>27,01,2026  10:17:18</t>
  </si>
  <si>
    <t>27,01,2026  10:17:46</t>
  </si>
  <si>
    <t>27,01,2026  10:17:29</t>
  </si>
  <si>
    <t>27,01,2026  10:17:50</t>
  </si>
  <si>
    <t>27,01,2026  10:19:28</t>
  </si>
  <si>
    <t>27,01,2026  10:18:07</t>
  </si>
  <si>
    <t>27,01,2026  10:18:02</t>
  </si>
  <si>
    <t>27,01,2026  10:18:11</t>
  </si>
  <si>
    <t>27,01,2026  10:21:08</t>
  </si>
  <si>
    <t>27,01,2026  10:21:30</t>
  </si>
  <si>
    <t>27,01,2026  10:23:23</t>
  </si>
  <si>
    <t>27,01,2026  10:21:25</t>
  </si>
  <si>
    <t>27,01,2026  10:21:09</t>
  </si>
  <si>
    <t>27,01,2026  10:21:39</t>
  </si>
  <si>
    <t>27,01,2026  10:21:34</t>
  </si>
  <si>
    <t>27,01,2026  10:21:24</t>
  </si>
  <si>
    <t>27,01,2026  10:21:48</t>
  </si>
  <si>
    <t>27,01,2026  10:21:52</t>
  </si>
  <si>
    <t>27,01,2026  10:21:55</t>
  </si>
  <si>
    <t>27,01,2026  10:22:09</t>
  </si>
  <si>
    <t>27,01,2026  10:22:15</t>
  </si>
  <si>
    <t>27,01,2026  10:24:55</t>
  </si>
  <si>
    <t>27,01,2026  10:25:58</t>
  </si>
  <si>
    <t>27,01,2026  10:26:03</t>
  </si>
  <si>
    <t>27,01,2026  10:26:06</t>
  </si>
  <si>
    <t>27,01,2026  10:24:56</t>
  </si>
  <si>
    <t>27,01,2026  10:25:54</t>
  </si>
  <si>
    <t>27,01,2026  10:24:57</t>
  </si>
  <si>
    <t>27,01,2026  10:26:50</t>
  </si>
  <si>
    <t>27,01,2026  10:26:56</t>
  </si>
  <si>
    <t>27,01,2026  10:26:59</t>
  </si>
  <si>
    <t>27,01,2026  10:27:03</t>
  </si>
  <si>
    <t>27,01,2026  10:27:48</t>
  </si>
  <si>
    <t>27,01,2026  10:27:55</t>
  </si>
  <si>
    <t>27,01,2026  10:27:57</t>
  </si>
  <si>
    <t>27,01,2026  10:28:06</t>
  </si>
  <si>
    <t>27,01,2026  10:27:58</t>
  </si>
  <si>
    <t>27,01,2026  10:28:48</t>
  </si>
  <si>
    <t>27,01,2026  10:28:57</t>
  </si>
  <si>
    <t>27,01,2026  10:28:53</t>
  </si>
  <si>
    <t>27,01,2026  10:29:05</t>
  </si>
  <si>
    <t>27,01,2026  10:29:45</t>
  </si>
  <si>
    <t>27,01,2026  10:29:54</t>
  </si>
  <si>
    <t>27,01,2026  10:28:56</t>
  </si>
  <si>
    <t>27,01,2026  10:29:55</t>
  </si>
  <si>
    <t>27,01,2026  10:29:53</t>
  </si>
  <si>
    <t>27,01,2026  10:30:03</t>
  </si>
  <si>
    <t>27,01,2026  10:30:48</t>
  </si>
  <si>
    <t>27,01,2026  10:30:50</t>
  </si>
  <si>
    <t>27,01,2026  10:30:54</t>
  </si>
  <si>
    <t>27,01,2026  10:30:53</t>
  </si>
  <si>
    <t>27,01,2026  10:31:04</t>
  </si>
  <si>
    <t>27,01,2026  10:31:45</t>
  </si>
  <si>
    <t>27,01,2026  10:31:48</t>
  </si>
  <si>
    <t>27,01,2026  10:31:55</t>
  </si>
  <si>
    <t>27,01,2026  10:31:54</t>
  </si>
  <si>
    <t>27,01,2026  10:31:03</t>
  </si>
  <si>
    <t>27,01,2026  10:32:05</t>
  </si>
  <si>
    <t>27,01,2026  10:32:41</t>
  </si>
  <si>
    <t>27,01,2026  10:32:44</t>
  </si>
  <si>
    <t>27,01,2026  10:32:51</t>
  </si>
  <si>
    <t>27,01,2026  10:32:55</t>
  </si>
  <si>
    <t>27,01,2026  10:33:09</t>
  </si>
  <si>
    <t>27,01,2026  10:33:40</t>
  </si>
  <si>
    <t>27,01,2026  10:33:41</t>
  </si>
  <si>
    <t>27,01,2026  10:33:48</t>
  </si>
  <si>
    <t>27,01,2026  10:33:51</t>
  </si>
  <si>
    <t>27,01,2026  10:34:09</t>
  </si>
  <si>
    <t>27,01,2026  10:34:38</t>
  </si>
  <si>
    <t>27,01,2026  10:34:40</t>
  </si>
  <si>
    <t>27,01,2026  10:34:43</t>
  </si>
  <si>
    <t>27,01,2026  10:34:47</t>
  </si>
  <si>
    <t>27,01,2026  10:35:10</t>
  </si>
  <si>
    <t>27,01,2026  10:35:34</t>
  </si>
  <si>
    <t>27,01,2026  10:35:37</t>
  </si>
  <si>
    <t>27,01,2026  10:35:44</t>
  </si>
  <si>
    <t>27,01,2026  10:35:45</t>
  </si>
  <si>
    <t>27,01,2026  10:36:14</t>
  </si>
  <si>
    <t>27,01,2026  10:36:31</t>
  </si>
  <si>
    <t>27,01,2026  10:36:36</t>
  </si>
  <si>
    <t>27,01,2026  10:36:45</t>
  </si>
  <si>
    <t>27,01,2026  10:36:46</t>
  </si>
  <si>
    <t>27,01,2026  10:37:16</t>
  </si>
  <si>
    <t>27,01,2026  10:37:30</t>
  </si>
  <si>
    <t>27,01,2026  10:37:33</t>
  </si>
  <si>
    <t>27,01,2026  10:37:46</t>
  </si>
  <si>
    <t>27,01,2026  10:37:47</t>
  </si>
  <si>
    <t>27,01,2026  10:38:21</t>
  </si>
  <si>
    <t>27,01,2026  10:38:26</t>
  </si>
  <si>
    <t>27,01,2026  10:38:30</t>
  </si>
  <si>
    <t>27,01,2026  10:38:43</t>
  </si>
  <si>
    <t>27,01,2026  10:38:44</t>
  </si>
  <si>
    <t>27,01,2026  10:39:24</t>
  </si>
  <si>
    <t>27,01,2026  10:39:22</t>
  </si>
  <si>
    <t>27,01,2026  10:39:29</t>
  </si>
  <si>
    <t>27,01,2026  10:39:40</t>
  </si>
  <si>
    <t>27,01,2026  10:39:43</t>
  </si>
  <si>
    <t>27,01,2026  10:40:20</t>
  </si>
  <si>
    <t>27,01,2026  10:40:03</t>
  </si>
  <si>
    <t>27,01,2026  10:39:48</t>
  </si>
  <si>
    <t>residua</t>
  </si>
  <si>
    <t>średnie_res</t>
  </si>
  <si>
    <t>mediana_res</t>
  </si>
  <si>
    <t>pred_zawyzone</t>
  </si>
  <si>
    <t>pred_zanizone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</si>
</sst>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4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</a:t>
            </a:r>
            <a:r>
              <a:rPr lang="pl-PL" baseline="0"/>
              <a:t> vs Predicted Online Linear Regression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</c:numCache>
            </c:numRef>
          </c:xVal>
          <c:yVal>
            <c:numRef>
              <c:f>Arkusz1!$E$2:$E$186</c:f>
              <c:numCache>
                <c:formatCode>General</c:formatCode>
                <c:ptCount val="185"/>
                <c:pt idx="0">
                  <c:v>88.290673249250005</c:v>
                </c:pt>
                <c:pt idx="1">
                  <c:v>88.257355053658202</c:v>
                </c:pt>
                <c:pt idx="2">
                  <c:v>88.224240512425098</c:v>
                </c:pt>
                <c:pt idx="3">
                  <c:v>88.1874421700076</c:v>
                </c:pt>
                <c:pt idx="4">
                  <c:v>88.1530493142441</c:v>
                </c:pt>
                <c:pt idx="5">
                  <c:v>88.122842087145401</c:v>
                </c:pt>
                <c:pt idx="6">
                  <c:v>88.089014275925393</c:v>
                </c:pt>
                <c:pt idx="7">
                  <c:v>88.100465500100199</c:v>
                </c:pt>
                <c:pt idx="8">
                  <c:v>88.070811058458801</c:v>
                </c:pt>
                <c:pt idx="9">
                  <c:v>88.039135157828099</c:v>
                </c:pt>
                <c:pt idx="10">
                  <c:v>88.0072992375365</c:v>
                </c:pt>
                <c:pt idx="11">
                  <c:v>87.974314645557399</c:v>
                </c:pt>
                <c:pt idx="12">
                  <c:v>87.998176905831102</c:v>
                </c:pt>
                <c:pt idx="13">
                  <c:v>87.962319706670101</c:v>
                </c:pt>
                <c:pt idx="14">
                  <c:v>87.932946339075698</c:v>
                </c:pt>
                <c:pt idx="15">
                  <c:v>87.901090504010099</c:v>
                </c:pt>
                <c:pt idx="16">
                  <c:v>87.869045679758102</c:v>
                </c:pt>
                <c:pt idx="17">
                  <c:v>87.836203734805594</c:v>
                </c:pt>
                <c:pt idx="18">
                  <c:v>87.802671234749596</c:v>
                </c:pt>
                <c:pt idx="19">
                  <c:v>87.7739530715657</c:v>
                </c:pt>
                <c:pt idx="20">
                  <c:v>107.35879305050101</c:v>
                </c:pt>
                <c:pt idx="21">
                  <c:v>107.34491685630501</c:v>
                </c:pt>
                <c:pt idx="22">
                  <c:v>107.31274757579099</c:v>
                </c:pt>
                <c:pt idx="23">
                  <c:v>107.305231539069</c:v>
                </c:pt>
                <c:pt idx="24">
                  <c:v>107.284786660824</c:v>
                </c:pt>
                <c:pt idx="25">
                  <c:v>107.26911022025401</c:v>
                </c:pt>
                <c:pt idx="26">
                  <c:v>107.224865005786</c:v>
                </c:pt>
                <c:pt idx="27">
                  <c:v>107.19958285040499</c:v>
                </c:pt>
                <c:pt idx="28">
                  <c:v>107.17794902256399</c:v>
                </c:pt>
                <c:pt idx="29">
                  <c:v>107.16155505481299</c:v>
                </c:pt>
                <c:pt idx="30">
                  <c:v>107.142822590796</c:v>
                </c:pt>
                <c:pt idx="31">
                  <c:v>107.11836300964799</c:v>
                </c:pt>
                <c:pt idx="32">
                  <c:v>107.10295758982301</c:v>
                </c:pt>
                <c:pt idx="33">
                  <c:v>107.067495336706</c:v>
                </c:pt>
                <c:pt idx="34">
                  <c:v>107.052864383695</c:v>
                </c:pt>
                <c:pt idx="35">
                  <c:v>107.008269993035</c:v>
                </c:pt>
                <c:pt idx="36">
                  <c:v>106.99683662951</c:v>
                </c:pt>
                <c:pt idx="37">
                  <c:v>106.976005477033</c:v>
                </c:pt>
                <c:pt idx="38">
                  <c:v>106.95358906915401</c:v>
                </c:pt>
                <c:pt idx="39">
                  <c:v>106.93244269536901</c:v>
                </c:pt>
                <c:pt idx="40">
                  <c:v>106.900942755106</c:v>
                </c:pt>
                <c:pt idx="41">
                  <c:v>106.88109727637701</c:v>
                </c:pt>
                <c:pt idx="42">
                  <c:v>106.85607935743499</c:v>
                </c:pt>
                <c:pt idx="43">
                  <c:v>106.828499510622</c:v>
                </c:pt>
                <c:pt idx="44">
                  <c:v>106.809292078298</c:v>
                </c:pt>
                <c:pt idx="45">
                  <c:v>106.760551537502</c:v>
                </c:pt>
                <c:pt idx="46">
                  <c:v>106.755877122303</c:v>
                </c:pt>
                <c:pt idx="47">
                  <c:v>106.732748104065</c:v>
                </c:pt>
                <c:pt idx="48">
                  <c:v>106.711918418442</c:v>
                </c:pt>
                <c:pt idx="49">
                  <c:v>106.68781796131999</c:v>
                </c:pt>
                <c:pt idx="50">
                  <c:v>106.655508495636</c:v>
                </c:pt>
                <c:pt idx="51">
                  <c:v>106.64153650428899</c:v>
                </c:pt>
                <c:pt idx="52">
                  <c:v>106.60377204065099</c:v>
                </c:pt>
                <c:pt idx="53">
                  <c:v>106.59005404770301</c:v>
                </c:pt>
                <c:pt idx="54">
                  <c:v>106.57134112721199</c:v>
                </c:pt>
                <c:pt idx="55">
                  <c:v>106.550313896307</c:v>
                </c:pt>
                <c:pt idx="56">
                  <c:v>106.51677741174601</c:v>
                </c:pt>
                <c:pt idx="57">
                  <c:v>106.498594215431</c:v>
                </c:pt>
                <c:pt idx="58">
                  <c:v>106.463129957059</c:v>
                </c:pt>
                <c:pt idx="59">
                  <c:v>106.45666649445999</c:v>
                </c:pt>
                <c:pt idx="60">
                  <c:v>106.42406236571701</c:v>
                </c:pt>
                <c:pt idx="61">
                  <c:v>106.39533078612</c:v>
                </c:pt>
                <c:pt idx="62">
                  <c:v>106.37652890915901</c:v>
                </c:pt>
                <c:pt idx="63">
                  <c:v>106.353030687961</c:v>
                </c:pt>
                <c:pt idx="64">
                  <c:v>106.32136706407</c:v>
                </c:pt>
                <c:pt idx="65">
                  <c:v>106.30661995775201</c:v>
                </c:pt>
                <c:pt idx="66">
                  <c:v>106.273805946796</c:v>
                </c:pt>
                <c:pt idx="67">
                  <c:v>106.251317122609</c:v>
                </c:pt>
                <c:pt idx="68">
                  <c:v>106.232287823333</c:v>
                </c:pt>
                <c:pt idx="69">
                  <c:v>106.20879593628899</c:v>
                </c:pt>
                <c:pt idx="70">
                  <c:v>106.18200926348599</c:v>
                </c:pt>
                <c:pt idx="71">
                  <c:v>106.161026611954</c:v>
                </c:pt>
                <c:pt idx="72">
                  <c:v>106.12346719312799</c:v>
                </c:pt>
                <c:pt idx="73">
                  <c:v>106.10456046951199</c:v>
                </c:pt>
                <c:pt idx="74">
                  <c:v>106.075532541789</c:v>
                </c:pt>
                <c:pt idx="75">
                  <c:v>106.06948958618401</c:v>
                </c:pt>
                <c:pt idx="76">
                  <c:v>106.044005561623</c:v>
                </c:pt>
                <c:pt idx="77">
                  <c:v>105.998765637723</c:v>
                </c:pt>
                <c:pt idx="78">
                  <c:v>106.004280258113</c:v>
                </c:pt>
                <c:pt idx="79">
                  <c:v>105.971992037433</c:v>
                </c:pt>
                <c:pt idx="80">
                  <c:v>105.955178914935</c:v>
                </c:pt>
                <c:pt idx="81">
                  <c:v>105.930047724573</c:v>
                </c:pt>
                <c:pt idx="82">
                  <c:v>105.896620082715</c:v>
                </c:pt>
                <c:pt idx="83">
                  <c:v>105.884866806001</c:v>
                </c:pt>
                <c:pt idx="84">
                  <c:v>105.86038670828999</c:v>
                </c:pt>
                <c:pt idx="85">
                  <c:v>105.833617964385</c:v>
                </c:pt>
                <c:pt idx="86">
                  <c:v>105.81216910022199</c:v>
                </c:pt>
                <c:pt idx="87">
                  <c:v>105.792669291173</c:v>
                </c:pt>
                <c:pt idx="88">
                  <c:v>105.77135284998801</c:v>
                </c:pt>
                <c:pt idx="89">
                  <c:v>105.73667429931299</c:v>
                </c:pt>
                <c:pt idx="90">
                  <c:v>105.71691768661999</c:v>
                </c:pt>
                <c:pt idx="91">
                  <c:v>105.68774145387999</c:v>
                </c:pt>
                <c:pt idx="92">
                  <c:v>105.67546681342201</c:v>
                </c:pt>
                <c:pt idx="93">
                  <c:v>105.65748882027501</c:v>
                </c:pt>
                <c:pt idx="94">
                  <c:v>105.63317065286699</c:v>
                </c:pt>
                <c:pt idx="95">
                  <c:v>86.024769950025401</c:v>
                </c:pt>
                <c:pt idx="96">
                  <c:v>86.0023186994772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8C-49DF-A4EC-FF47488C59F6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</c:numCache>
            </c:numRef>
          </c:xVal>
          <c:yVal>
            <c:numRef>
              <c:f>Arkusz1!$H$2:$H$186</c:f>
              <c:numCache>
                <c:formatCode>General</c:formatCode>
                <c:ptCount val="185"/>
                <c:pt idx="0">
                  <c:v>22.452000000000002</c:v>
                </c:pt>
                <c:pt idx="1">
                  <c:v>22.788</c:v>
                </c:pt>
                <c:pt idx="2">
                  <c:v>15.435</c:v>
                </c:pt>
                <c:pt idx="3">
                  <c:v>20.122</c:v>
                </c:pt>
                <c:pt idx="4">
                  <c:v>28.341000000000001</c:v>
                </c:pt>
                <c:pt idx="5">
                  <c:v>21.108000000000001</c:v>
                </c:pt>
                <c:pt idx="6">
                  <c:v>110.786</c:v>
                </c:pt>
                <c:pt idx="7">
                  <c:v>29.294</c:v>
                </c:pt>
                <c:pt idx="8">
                  <c:v>25.224</c:v>
                </c:pt>
                <c:pt idx="9">
                  <c:v>24.843</c:v>
                </c:pt>
                <c:pt idx="10">
                  <c:v>22.498000000000001</c:v>
                </c:pt>
                <c:pt idx="11">
                  <c:v>135.38999999999999</c:v>
                </c:pt>
                <c:pt idx="12">
                  <c:v>16.712</c:v>
                </c:pt>
                <c:pt idx="13">
                  <c:v>29.536999999999999</c:v>
                </c:pt>
                <c:pt idx="14">
                  <c:v>24.538</c:v>
                </c:pt>
                <c:pt idx="15">
                  <c:v>24.097999999999999</c:v>
                </c:pt>
                <c:pt idx="16">
                  <c:v>22.446000000000002</c:v>
                </c:pt>
                <c:pt idx="17">
                  <c:v>21.004000000000001</c:v>
                </c:pt>
                <c:pt idx="18">
                  <c:v>30.536999999999999</c:v>
                </c:pt>
                <c:pt idx="19">
                  <c:v>27.657</c:v>
                </c:pt>
                <c:pt idx="20">
                  <c:v>63.561</c:v>
                </c:pt>
                <c:pt idx="21">
                  <c:v>67.817999999999998</c:v>
                </c:pt>
                <c:pt idx="22">
                  <c:v>70.855999999999995</c:v>
                </c:pt>
                <c:pt idx="23">
                  <c:v>57.874000000000002</c:v>
                </c:pt>
                <c:pt idx="24">
                  <c:v>61.195</c:v>
                </c:pt>
                <c:pt idx="25">
                  <c:v>56.151000000000003</c:v>
                </c:pt>
                <c:pt idx="26">
                  <c:v>57.597000000000001</c:v>
                </c:pt>
                <c:pt idx="27">
                  <c:v>61.561</c:v>
                </c:pt>
                <c:pt idx="28">
                  <c:v>59.945</c:v>
                </c:pt>
                <c:pt idx="29">
                  <c:v>57.597000000000001</c:v>
                </c:pt>
                <c:pt idx="30">
                  <c:v>57.92</c:v>
                </c:pt>
                <c:pt idx="31">
                  <c:v>59.2</c:v>
                </c:pt>
                <c:pt idx="32">
                  <c:v>58.26</c:v>
                </c:pt>
                <c:pt idx="33">
                  <c:v>62.625</c:v>
                </c:pt>
                <c:pt idx="34">
                  <c:v>54.713999999999999</c:v>
                </c:pt>
                <c:pt idx="35">
                  <c:v>60.274999999999999</c:v>
                </c:pt>
                <c:pt idx="36">
                  <c:v>61.646000000000001</c:v>
                </c:pt>
                <c:pt idx="37">
                  <c:v>59.323</c:v>
                </c:pt>
                <c:pt idx="38">
                  <c:v>55.411999999999999</c:v>
                </c:pt>
                <c:pt idx="39">
                  <c:v>59.893000000000001</c:v>
                </c:pt>
                <c:pt idx="40">
                  <c:v>56.9</c:v>
                </c:pt>
                <c:pt idx="41">
                  <c:v>60.628</c:v>
                </c:pt>
                <c:pt idx="42">
                  <c:v>58.323999999999998</c:v>
                </c:pt>
                <c:pt idx="43">
                  <c:v>56.725999999999999</c:v>
                </c:pt>
                <c:pt idx="44">
                  <c:v>57.125999999999998</c:v>
                </c:pt>
                <c:pt idx="45">
                  <c:v>63.094999999999999</c:v>
                </c:pt>
                <c:pt idx="46">
                  <c:v>57.386000000000003</c:v>
                </c:pt>
                <c:pt idx="47">
                  <c:v>60.398000000000003</c:v>
                </c:pt>
                <c:pt idx="48">
                  <c:v>58.515999999999998</c:v>
                </c:pt>
                <c:pt idx="49">
                  <c:v>60.387</c:v>
                </c:pt>
                <c:pt idx="50">
                  <c:v>57.744</c:v>
                </c:pt>
                <c:pt idx="51">
                  <c:v>57.622</c:v>
                </c:pt>
                <c:pt idx="52">
                  <c:v>61.448999999999998</c:v>
                </c:pt>
                <c:pt idx="53">
                  <c:v>59.396000000000001</c:v>
                </c:pt>
                <c:pt idx="54">
                  <c:v>61.755000000000003</c:v>
                </c:pt>
                <c:pt idx="55">
                  <c:v>55.634999999999998</c:v>
                </c:pt>
                <c:pt idx="56">
                  <c:v>56.682000000000002</c:v>
                </c:pt>
                <c:pt idx="57">
                  <c:v>57.895000000000003</c:v>
                </c:pt>
                <c:pt idx="58">
                  <c:v>60.31</c:v>
                </c:pt>
                <c:pt idx="59">
                  <c:v>63.646000000000001</c:v>
                </c:pt>
                <c:pt idx="60">
                  <c:v>59.216000000000001</c:v>
                </c:pt>
                <c:pt idx="61">
                  <c:v>57.463000000000001</c:v>
                </c:pt>
                <c:pt idx="62">
                  <c:v>56.27</c:v>
                </c:pt>
                <c:pt idx="63">
                  <c:v>55.923000000000002</c:v>
                </c:pt>
                <c:pt idx="64">
                  <c:v>60.482999999999997</c:v>
                </c:pt>
                <c:pt idx="65">
                  <c:v>57.442</c:v>
                </c:pt>
                <c:pt idx="66">
                  <c:v>58.512999999999998</c:v>
                </c:pt>
                <c:pt idx="67">
                  <c:v>55.695</c:v>
                </c:pt>
                <c:pt idx="68">
                  <c:v>56.271000000000001</c:v>
                </c:pt>
                <c:pt idx="69">
                  <c:v>60.640999999999998</c:v>
                </c:pt>
                <c:pt idx="70">
                  <c:v>56.649000000000001</c:v>
                </c:pt>
                <c:pt idx="71">
                  <c:v>57.972999999999999</c:v>
                </c:pt>
                <c:pt idx="72">
                  <c:v>60.728000000000002</c:v>
                </c:pt>
                <c:pt idx="73">
                  <c:v>58.234000000000002</c:v>
                </c:pt>
                <c:pt idx="74">
                  <c:v>63.765999999999998</c:v>
                </c:pt>
                <c:pt idx="75">
                  <c:v>57.341999999999999</c:v>
                </c:pt>
                <c:pt idx="76">
                  <c:v>58.143000000000001</c:v>
                </c:pt>
                <c:pt idx="77">
                  <c:v>61.426000000000002</c:v>
                </c:pt>
                <c:pt idx="78">
                  <c:v>60.689</c:v>
                </c:pt>
                <c:pt idx="79">
                  <c:v>62.069000000000003</c:v>
                </c:pt>
                <c:pt idx="80">
                  <c:v>59.054000000000002</c:v>
                </c:pt>
                <c:pt idx="81">
                  <c:v>57.878999999999998</c:v>
                </c:pt>
                <c:pt idx="82">
                  <c:v>60.573</c:v>
                </c:pt>
                <c:pt idx="83">
                  <c:v>60.661000000000001</c:v>
                </c:pt>
                <c:pt idx="84">
                  <c:v>65.665999999999997</c:v>
                </c:pt>
                <c:pt idx="85">
                  <c:v>55.856000000000002</c:v>
                </c:pt>
                <c:pt idx="86">
                  <c:v>56.268000000000001</c:v>
                </c:pt>
                <c:pt idx="87">
                  <c:v>57.844000000000001</c:v>
                </c:pt>
                <c:pt idx="88">
                  <c:v>57.646000000000001</c:v>
                </c:pt>
                <c:pt idx="89">
                  <c:v>63.357999999999997</c:v>
                </c:pt>
                <c:pt idx="90">
                  <c:v>56.703000000000003</c:v>
                </c:pt>
                <c:pt idx="91">
                  <c:v>59.008000000000003</c:v>
                </c:pt>
                <c:pt idx="92">
                  <c:v>56.454999999999998</c:v>
                </c:pt>
                <c:pt idx="93">
                  <c:v>58.62</c:v>
                </c:pt>
                <c:pt idx="94">
                  <c:v>58.02</c:v>
                </c:pt>
                <c:pt idx="95">
                  <c:v>39.575000000000003</c:v>
                </c:pt>
                <c:pt idx="96">
                  <c:v>19.050999999999998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8C-49DF-A4EC-FF47488C5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60112"/>
        <c:axId val="194562992"/>
      </c:scatterChart>
      <c:valAx>
        <c:axId val="19456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2992"/>
        <c:crosses val="autoZero"/>
        <c:crossBetween val="midCat"/>
      </c:valAx>
      <c:valAx>
        <c:axId val="1945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1127760</xdr:colOff>
      <xdr:row>4</xdr:row>
      <xdr:rowOff>41910</xdr:rowOff>
    </xdr:from>
    <xdr:to>
      <xdr:col>19</xdr:col>
      <xdr:colOff>365760</xdr:colOff>
      <xdr:row>30</xdr:row>
      <xdr:rowOff>15240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BB6985D-F8DF-EEC5-B881-937A69B64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8"/>
  <sheetViews>
    <sheetView tabSelected="1" topLeftCell="E1" workbookViewId="0">
      <selection activeCell="X11" sqref="X11"/>
    </sheetView>
  </sheetViews>
  <sheetFormatPr defaultRowHeight="14.4" x14ac:dyDescent="0.3"/>
  <cols>
    <col min="18" max="18" width="18.109375" bestFit="1" customWidth="1"/>
    <col min="21" max="21" width="12.44140625" bestFit="1" customWidth="1"/>
    <col min="22" max="22" width="11.88671875" bestFit="1" customWidth="1"/>
    <col min="23" max="23" width="14" bestFit="1" customWidth="1"/>
    <col min="24" max="24" width="13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</row>
    <row r="2" spans="1:24" x14ac:dyDescent="0.3">
      <c r="A2">
        <v>1</v>
      </c>
      <c r="B2">
        <v>1</v>
      </c>
      <c r="C2">
        <v>1769509035</v>
      </c>
      <c r="D2">
        <v>1769509123.2906699</v>
      </c>
      <c r="E2">
        <v>88.290673249250005</v>
      </c>
      <c r="F2">
        <v>1769509035</v>
      </c>
      <c r="G2">
        <v>1769509057</v>
      </c>
      <c r="H2">
        <v>22.452000000000002</v>
      </c>
      <c r="I2">
        <v>65.838673249249993</v>
      </c>
      <c r="J2">
        <v>65.838673249249993</v>
      </c>
      <c r="K2">
        <v>118.90389010398199</v>
      </c>
      <c r="L2">
        <v>66.290673255920396</v>
      </c>
      <c r="M2">
        <v>66.290673255920396</v>
      </c>
      <c r="N2" s="2">
        <v>3.7462748072390901E-6</v>
      </c>
      <c r="O2" s="3">
        <v>46049.42864583333</v>
      </c>
      <c r="P2" s="3">
        <v>46049.429667719909</v>
      </c>
      <c r="Q2" s="1" t="s">
        <v>18</v>
      </c>
      <c r="R2" s="1" t="s">
        <v>19</v>
      </c>
      <c r="T2">
        <f>H2-E2</f>
        <v>-65.838673249250007</v>
      </c>
      <c r="U2">
        <f>AVERAGE(T2:T98)</f>
        <v>-48.894644184954224</v>
      </c>
      <c r="V2">
        <f>MEDIAN(T2:T98)</f>
        <v>-48.532079357434995</v>
      </c>
      <c r="W2">
        <f>COUNTIF(T2:T98,"&lt;0")/COUNT(T2:T98)</f>
        <v>0.97938144329896903</v>
      </c>
      <c r="X2">
        <f>COUNTIF(T2:T98,"&gt;0")/COUNT(T2:T98)</f>
        <v>2.0618556701030927E-2</v>
      </c>
    </row>
    <row r="3" spans="1:24" x14ac:dyDescent="0.3">
      <c r="A3">
        <v>2</v>
      </c>
      <c r="B3">
        <v>2</v>
      </c>
      <c r="C3">
        <v>1769509035</v>
      </c>
      <c r="D3">
        <v>1769509123.25735</v>
      </c>
      <c r="E3">
        <v>88.257355053658202</v>
      </c>
      <c r="F3">
        <v>1769509035</v>
      </c>
      <c r="G3">
        <v>1769509057</v>
      </c>
      <c r="H3">
        <v>22.788</v>
      </c>
      <c r="I3">
        <v>65.469355053658205</v>
      </c>
      <c r="J3">
        <v>65.469355053658205</v>
      </c>
      <c r="K3">
        <v>117.91462150221901</v>
      </c>
      <c r="L3">
        <v>66.257354974746704</v>
      </c>
      <c r="M3">
        <v>66.257354974746704</v>
      </c>
      <c r="N3" s="2">
        <v>3.7443918962817201E-6</v>
      </c>
      <c r="O3" s="3">
        <v>46049.42864583333</v>
      </c>
      <c r="P3" s="3">
        <v>46049.429667326389</v>
      </c>
      <c r="Q3" s="1" t="s">
        <v>18</v>
      </c>
      <c r="R3" s="1" t="s">
        <v>19</v>
      </c>
      <c r="T3">
        <f t="shared" ref="T3:T66" si="0">H3-E3</f>
        <v>-65.469355053658205</v>
      </c>
    </row>
    <row r="4" spans="1:24" x14ac:dyDescent="0.3">
      <c r="A4">
        <v>3</v>
      </c>
      <c r="B4">
        <v>3</v>
      </c>
      <c r="C4">
        <v>1769509035</v>
      </c>
      <c r="D4">
        <v>1769509123.2242401</v>
      </c>
      <c r="E4">
        <v>88.224240512425098</v>
      </c>
      <c r="F4">
        <v>1769509035</v>
      </c>
      <c r="G4">
        <v>1769509050</v>
      </c>
      <c r="H4">
        <v>15.435</v>
      </c>
      <c r="I4">
        <v>72.789240512425096</v>
      </c>
      <c r="J4">
        <v>72.789240512425096</v>
      </c>
      <c r="K4">
        <v>140.43946328875501</v>
      </c>
      <c r="L4">
        <v>73.224240541458101</v>
      </c>
      <c r="M4">
        <v>73.224240541458101</v>
      </c>
      <c r="N4" s="2">
        <v>4.1381104564799001E-6</v>
      </c>
      <c r="O4" s="3">
        <v>46049.42864583333</v>
      </c>
      <c r="P4" s="3">
        <v>46049.429666944445</v>
      </c>
      <c r="Q4" s="1" t="s">
        <v>18</v>
      </c>
      <c r="R4" s="1" t="s">
        <v>20</v>
      </c>
      <c r="T4">
        <f t="shared" si="0"/>
        <v>-72.789240512425096</v>
      </c>
    </row>
    <row r="5" spans="1:24" x14ac:dyDescent="0.3">
      <c r="A5">
        <v>4</v>
      </c>
      <c r="B5">
        <v>4</v>
      </c>
      <c r="C5">
        <v>1769509035</v>
      </c>
      <c r="D5">
        <v>1769509123.1874399</v>
      </c>
      <c r="E5">
        <v>88.1874421700076</v>
      </c>
      <c r="F5">
        <v>1769509037</v>
      </c>
      <c r="G5">
        <v>1769509057</v>
      </c>
      <c r="H5">
        <v>20.122</v>
      </c>
      <c r="I5">
        <v>68.0654421700076</v>
      </c>
      <c r="J5">
        <v>68.0654421700076</v>
      </c>
      <c r="K5">
        <v>125.686996085103</v>
      </c>
      <c r="L5">
        <v>66.187442064285193</v>
      </c>
      <c r="M5">
        <v>66.187442064285193</v>
      </c>
      <c r="N5" s="2">
        <v>3.7404409186041299E-6</v>
      </c>
      <c r="O5" s="3">
        <v>46049.42864583333</v>
      </c>
      <c r="P5" s="3">
        <v>46049.429666516204</v>
      </c>
      <c r="Q5" s="1" t="s">
        <v>21</v>
      </c>
      <c r="R5" s="1" t="s">
        <v>19</v>
      </c>
      <c r="T5">
        <f t="shared" si="0"/>
        <v>-68.0654421700076</v>
      </c>
    </row>
    <row r="6" spans="1:24" x14ac:dyDescent="0.3">
      <c r="A6">
        <v>5</v>
      </c>
      <c r="B6">
        <v>5</v>
      </c>
      <c r="C6">
        <v>1769509035</v>
      </c>
      <c r="D6">
        <v>1769509123.1530399</v>
      </c>
      <c r="E6">
        <v>88.1530493142441</v>
      </c>
      <c r="F6">
        <v>1769509038</v>
      </c>
      <c r="G6">
        <v>1769509066</v>
      </c>
      <c r="H6">
        <v>28.341000000000001</v>
      </c>
      <c r="I6">
        <v>59.812049314244099</v>
      </c>
      <c r="J6">
        <v>59.812049314244099</v>
      </c>
      <c r="K6">
        <v>102.68687485126399</v>
      </c>
      <c r="L6">
        <v>57.153049230575498</v>
      </c>
      <c r="M6">
        <v>57.153049230575498</v>
      </c>
      <c r="N6" s="2">
        <v>3.22988163246786E-6</v>
      </c>
      <c r="O6" s="3">
        <v>46049.42864583333</v>
      </c>
      <c r="P6" s="3">
        <v>46049.429666122684</v>
      </c>
      <c r="Q6" s="1" t="s">
        <v>22</v>
      </c>
      <c r="R6" s="1" t="s">
        <v>23</v>
      </c>
      <c r="T6">
        <f t="shared" si="0"/>
        <v>-59.812049314244099</v>
      </c>
    </row>
    <row r="7" spans="1:24" x14ac:dyDescent="0.3">
      <c r="A7">
        <v>6</v>
      </c>
      <c r="B7">
        <v>5</v>
      </c>
      <c r="C7">
        <v>1769509123.1530399</v>
      </c>
      <c r="D7">
        <v>1769509211.2758901</v>
      </c>
      <c r="E7">
        <v>88.122842087145401</v>
      </c>
      <c r="F7">
        <v>1769509049</v>
      </c>
      <c r="G7">
        <v>1769509070</v>
      </c>
      <c r="H7">
        <v>21.108000000000001</v>
      </c>
      <c r="I7">
        <v>67.014842087145396</v>
      </c>
      <c r="J7">
        <v>67.014842087145396</v>
      </c>
      <c r="K7">
        <v>122.703150148161</v>
      </c>
      <c r="L7">
        <v>141.275891304016</v>
      </c>
      <c r="M7">
        <v>141.275891304016</v>
      </c>
      <c r="N7" s="2">
        <v>7.9839028835467406E-6</v>
      </c>
      <c r="O7" s="3">
        <v>46049.429666122684</v>
      </c>
      <c r="P7" s="3">
        <v>46049.430686064814</v>
      </c>
      <c r="Q7" s="1" t="s">
        <v>24</v>
      </c>
      <c r="R7" s="1" t="s">
        <v>25</v>
      </c>
      <c r="T7">
        <f t="shared" si="0"/>
        <v>-67.014842087145396</v>
      </c>
    </row>
    <row r="8" spans="1:24" x14ac:dyDescent="0.3">
      <c r="A8">
        <v>7</v>
      </c>
      <c r="B8">
        <v>4</v>
      </c>
      <c r="C8">
        <v>1769509123.1874399</v>
      </c>
      <c r="D8">
        <v>1769509211.2764499</v>
      </c>
      <c r="E8">
        <v>88.089014275925393</v>
      </c>
      <c r="F8">
        <v>1769509057</v>
      </c>
      <c r="G8">
        <v>1769509168</v>
      </c>
      <c r="H8">
        <v>110.786</v>
      </c>
      <c r="I8">
        <v>-22.696985724074501</v>
      </c>
      <c r="J8">
        <v>22.696985724074501</v>
      </c>
      <c r="K8">
        <v>22.825376839530001</v>
      </c>
      <c r="L8">
        <v>43.276456356048499</v>
      </c>
      <c r="M8">
        <v>43.276456356048499</v>
      </c>
      <c r="N8" s="2">
        <v>2.4456757054139001E-6</v>
      </c>
      <c r="O8" s="3">
        <v>46049.429666516204</v>
      </c>
      <c r="P8" s="3">
        <v>46049.430686064814</v>
      </c>
      <c r="Q8" s="1" t="s">
        <v>19</v>
      </c>
      <c r="R8" s="1" t="s">
        <v>26</v>
      </c>
      <c r="T8">
        <f t="shared" si="0"/>
        <v>22.696985724074608</v>
      </c>
    </row>
    <row r="9" spans="1:24" x14ac:dyDescent="0.3">
      <c r="A9">
        <v>8</v>
      </c>
      <c r="B9">
        <v>3</v>
      </c>
      <c r="C9">
        <v>1769509123.2242401</v>
      </c>
      <c r="D9">
        <v>1769509211.3247001</v>
      </c>
      <c r="E9">
        <v>88.100465500100199</v>
      </c>
      <c r="F9">
        <v>1769509057</v>
      </c>
      <c r="G9">
        <v>1769509087</v>
      </c>
      <c r="H9">
        <v>29.294</v>
      </c>
      <c r="I9">
        <v>58.806465500100202</v>
      </c>
      <c r="J9">
        <v>58.806465500100202</v>
      </c>
      <c r="K9">
        <v>100.186095229591</v>
      </c>
      <c r="L9">
        <v>124.324706077575</v>
      </c>
      <c r="M9">
        <v>124.324706077575</v>
      </c>
      <c r="N9" s="2">
        <v>7.0259431061109904E-6</v>
      </c>
      <c r="O9" s="3">
        <v>46049.429666944445</v>
      </c>
      <c r="P9" s="3">
        <v>46049.430686631946</v>
      </c>
      <c r="Q9" s="1" t="s">
        <v>19</v>
      </c>
      <c r="R9" s="1" t="s">
        <v>27</v>
      </c>
      <c r="T9">
        <f t="shared" si="0"/>
        <v>-58.806465500100202</v>
      </c>
    </row>
    <row r="10" spans="1:24" x14ac:dyDescent="0.3">
      <c r="A10">
        <v>9</v>
      </c>
      <c r="B10">
        <v>2</v>
      </c>
      <c r="C10">
        <v>1769509123.25735</v>
      </c>
      <c r="D10">
        <v>1769509211.32816</v>
      </c>
      <c r="E10">
        <v>88.070811058458801</v>
      </c>
      <c r="F10">
        <v>1769509057</v>
      </c>
      <c r="G10">
        <v>1769509082</v>
      </c>
      <c r="H10">
        <v>25.224</v>
      </c>
      <c r="I10">
        <v>62.846811058458798</v>
      </c>
      <c r="J10">
        <v>62.846811058458798</v>
      </c>
      <c r="K10">
        <v>110.943847244743</v>
      </c>
      <c r="L10">
        <v>129.32816600799501</v>
      </c>
      <c r="M10">
        <v>129.32816600799501</v>
      </c>
      <c r="N10" s="2">
        <v>7.3087028824805896E-6</v>
      </c>
      <c r="O10" s="3">
        <v>46049.429667326389</v>
      </c>
      <c r="P10" s="3">
        <v>46049.430686666667</v>
      </c>
      <c r="Q10" s="1" t="s">
        <v>19</v>
      </c>
      <c r="R10" s="1" t="s">
        <v>28</v>
      </c>
      <c r="T10">
        <f t="shared" si="0"/>
        <v>-62.846811058458798</v>
      </c>
    </row>
    <row r="11" spans="1:24" x14ac:dyDescent="0.3">
      <c r="A11">
        <v>10</v>
      </c>
      <c r="B11">
        <v>1</v>
      </c>
      <c r="C11">
        <v>1769509123.2906699</v>
      </c>
      <c r="D11">
        <v>1769509211.3297999</v>
      </c>
      <c r="E11">
        <v>88.039135157828099</v>
      </c>
      <c r="F11">
        <v>1769509066</v>
      </c>
      <c r="G11">
        <v>1769509091</v>
      </c>
      <c r="H11">
        <v>24.843</v>
      </c>
      <c r="I11">
        <v>63.196135157828103</v>
      </c>
      <c r="J11">
        <v>63.196135157828103</v>
      </c>
      <c r="K11">
        <v>111.968355434576</v>
      </c>
      <c r="L11">
        <v>120.32980847358699</v>
      </c>
      <c r="M11">
        <v>120.32980847358699</v>
      </c>
      <c r="N11" s="2">
        <v>6.8001800609152799E-6</v>
      </c>
      <c r="O11" s="3">
        <v>46049.429667719909</v>
      </c>
      <c r="P11" s="3">
        <v>46049.430686689811</v>
      </c>
      <c r="Q11" s="1" t="s">
        <v>23</v>
      </c>
      <c r="R11" s="1" t="s">
        <v>29</v>
      </c>
      <c r="T11">
        <f t="shared" si="0"/>
        <v>-63.196135157828095</v>
      </c>
    </row>
    <row r="12" spans="1:24" x14ac:dyDescent="0.3">
      <c r="A12">
        <v>11</v>
      </c>
      <c r="B12">
        <v>5</v>
      </c>
      <c r="C12">
        <v>1769509211.2758901</v>
      </c>
      <c r="D12">
        <v>1769509299.28319</v>
      </c>
      <c r="E12">
        <v>88.0072992375365</v>
      </c>
      <c r="F12">
        <v>1769509268</v>
      </c>
      <c r="G12">
        <v>1769509290</v>
      </c>
      <c r="H12">
        <v>22.498000000000001</v>
      </c>
      <c r="I12">
        <v>65.509299237536496</v>
      </c>
      <c r="J12">
        <v>65.509299237536496</v>
      </c>
      <c r="K12">
        <v>118.563181475525</v>
      </c>
      <c r="L12">
        <v>9.2831904888153005</v>
      </c>
      <c r="M12">
        <v>9.2831904888153005</v>
      </c>
      <c r="N12" s="2">
        <v>5.2461948162275998E-7</v>
      </c>
      <c r="O12" s="3">
        <v>46049.430686064814</v>
      </c>
      <c r="P12" s="3">
        <v>46049.431704664348</v>
      </c>
      <c r="Q12" s="1" t="s">
        <v>30</v>
      </c>
      <c r="R12" s="1" t="s">
        <v>31</v>
      </c>
      <c r="T12">
        <f t="shared" si="0"/>
        <v>-65.509299237536496</v>
      </c>
    </row>
    <row r="13" spans="1:24" x14ac:dyDescent="0.3">
      <c r="A13">
        <v>12</v>
      </c>
      <c r="B13">
        <v>4</v>
      </c>
      <c r="C13">
        <v>1769509211.2764499</v>
      </c>
      <c r="D13">
        <v>1769509299.2507701</v>
      </c>
      <c r="E13">
        <v>87.974314645557399</v>
      </c>
      <c r="F13">
        <v>1769509268</v>
      </c>
      <c r="G13">
        <v>1769509403</v>
      </c>
      <c r="H13">
        <v>135.38999999999999</v>
      </c>
      <c r="I13">
        <v>-47.415685354442502</v>
      </c>
      <c r="J13">
        <v>47.415685354442502</v>
      </c>
      <c r="K13">
        <v>42.455918197750897</v>
      </c>
      <c r="L13">
        <v>-103.749228954315</v>
      </c>
      <c r="M13">
        <v>103.749228954315</v>
      </c>
      <c r="N13" s="2">
        <v>5.86316364411027E-6</v>
      </c>
      <c r="O13" s="3">
        <v>46049.430686064814</v>
      </c>
      <c r="P13" s="3">
        <v>46049.43170429398</v>
      </c>
      <c r="Q13" s="1" t="s">
        <v>30</v>
      </c>
      <c r="R13" s="1" t="s">
        <v>32</v>
      </c>
      <c r="T13">
        <f t="shared" si="0"/>
        <v>47.415685354442587</v>
      </c>
    </row>
    <row r="14" spans="1:24" x14ac:dyDescent="0.3">
      <c r="A14">
        <v>13</v>
      </c>
      <c r="B14">
        <v>3</v>
      </c>
      <c r="C14">
        <v>1769509211.3247001</v>
      </c>
      <c r="D14">
        <v>1769509299.32288</v>
      </c>
      <c r="E14">
        <v>87.998176905831102</v>
      </c>
      <c r="F14">
        <v>1769509268</v>
      </c>
      <c r="G14">
        <v>1769509285</v>
      </c>
      <c r="H14">
        <v>16.712</v>
      </c>
      <c r="I14">
        <v>71.286176905831098</v>
      </c>
      <c r="J14">
        <v>71.286176905831098</v>
      </c>
      <c r="K14">
        <v>136.15902295712999</v>
      </c>
      <c r="L14">
        <v>14.3228828907012</v>
      </c>
      <c r="M14">
        <v>14.3228828907012</v>
      </c>
      <c r="N14" s="2">
        <v>8.0942682551307797E-7</v>
      </c>
      <c r="O14" s="3">
        <v>46049.430686631946</v>
      </c>
      <c r="P14" s="3">
        <v>46049.431705127317</v>
      </c>
      <c r="Q14" s="1" t="s">
        <v>30</v>
      </c>
      <c r="R14" s="1" t="s">
        <v>33</v>
      </c>
      <c r="T14">
        <f t="shared" si="0"/>
        <v>-71.286176905831098</v>
      </c>
    </row>
    <row r="15" spans="1:24" x14ac:dyDescent="0.3">
      <c r="A15">
        <v>14</v>
      </c>
      <c r="B15">
        <v>2</v>
      </c>
      <c r="C15">
        <v>1769509211.32816</v>
      </c>
      <c r="D15">
        <v>1769509299.2904799</v>
      </c>
      <c r="E15">
        <v>87.962319706670101</v>
      </c>
      <c r="F15">
        <v>1769509269</v>
      </c>
      <c r="G15">
        <v>1769509299</v>
      </c>
      <c r="H15">
        <v>29.536999999999999</v>
      </c>
      <c r="I15">
        <v>58.425319706670102</v>
      </c>
      <c r="J15">
        <v>58.425319706670102</v>
      </c>
      <c r="K15">
        <v>99.447928468905801</v>
      </c>
      <c r="L15">
        <v>0.290485620498657</v>
      </c>
      <c r="M15">
        <v>0.290485620498657</v>
      </c>
      <c r="N15" s="2">
        <v>1.6416168066422402E-8</v>
      </c>
      <c r="O15" s="3">
        <v>46049.430686666667</v>
      </c>
      <c r="P15" s="3">
        <v>46049.431704745373</v>
      </c>
      <c r="Q15" s="1" t="s">
        <v>34</v>
      </c>
      <c r="R15" s="1" t="s">
        <v>35</v>
      </c>
      <c r="T15">
        <f t="shared" si="0"/>
        <v>-58.425319706670102</v>
      </c>
    </row>
    <row r="16" spans="1:24" x14ac:dyDescent="0.3">
      <c r="A16">
        <v>15</v>
      </c>
      <c r="B16">
        <v>1</v>
      </c>
      <c r="C16">
        <v>1769509211.3297999</v>
      </c>
      <c r="D16">
        <v>1769509299.2627499</v>
      </c>
      <c r="E16">
        <v>87.932946339075698</v>
      </c>
      <c r="F16">
        <v>1769509269</v>
      </c>
      <c r="G16">
        <v>1769509294</v>
      </c>
      <c r="H16">
        <v>24.538</v>
      </c>
      <c r="I16">
        <v>63.394946339075702</v>
      </c>
      <c r="J16">
        <v>63.394946339075702</v>
      </c>
      <c r="K16">
        <v>112.73124020483201</v>
      </c>
      <c r="L16">
        <v>5.2627549171447701</v>
      </c>
      <c r="M16">
        <v>5.2627549171447701</v>
      </c>
      <c r="N16" s="2">
        <v>2.9741323920498701E-7</v>
      </c>
      <c r="O16" s="3">
        <v>46049.430686689811</v>
      </c>
      <c r="P16" s="3">
        <v>46049.431704432871</v>
      </c>
      <c r="Q16" s="1" t="s">
        <v>34</v>
      </c>
      <c r="R16" s="1" t="s">
        <v>36</v>
      </c>
      <c r="T16">
        <f t="shared" si="0"/>
        <v>-63.394946339075702</v>
      </c>
    </row>
    <row r="17" spans="1:20" x14ac:dyDescent="0.3">
      <c r="A17">
        <v>16</v>
      </c>
      <c r="B17">
        <v>4</v>
      </c>
      <c r="C17">
        <v>1769509299.2507701</v>
      </c>
      <c r="D17">
        <v>1769509387.15186</v>
      </c>
      <c r="E17">
        <v>87.901090504010099</v>
      </c>
      <c r="F17">
        <v>1769509284</v>
      </c>
      <c r="G17">
        <v>1769509308</v>
      </c>
      <c r="H17">
        <v>24.097999999999999</v>
      </c>
      <c r="I17">
        <v>63.8030905040101</v>
      </c>
      <c r="J17">
        <v>63.8030905040101</v>
      </c>
      <c r="K17">
        <v>113.93501539501401</v>
      </c>
      <c r="L17">
        <v>79.151861667633</v>
      </c>
      <c r="M17">
        <v>79.151861667633</v>
      </c>
      <c r="N17" s="2">
        <v>4.4730965550458303E-6</v>
      </c>
      <c r="O17" s="3">
        <v>46049.43170429398</v>
      </c>
      <c r="P17" s="3">
        <v>46049.432721666664</v>
      </c>
      <c r="Q17" s="1" t="s">
        <v>37</v>
      </c>
      <c r="R17" s="1" t="s">
        <v>38</v>
      </c>
      <c r="T17">
        <f t="shared" si="0"/>
        <v>-63.8030905040101</v>
      </c>
    </row>
    <row r="18" spans="1:20" x14ac:dyDescent="0.3">
      <c r="A18">
        <v>17</v>
      </c>
      <c r="B18">
        <v>1</v>
      </c>
      <c r="C18">
        <v>1769509299.2627499</v>
      </c>
      <c r="D18">
        <v>1769509387.1317999</v>
      </c>
      <c r="E18">
        <v>87.869045679758102</v>
      </c>
      <c r="F18">
        <v>1769509290</v>
      </c>
      <c r="G18">
        <v>1769509312</v>
      </c>
      <c r="H18">
        <v>22.446000000000002</v>
      </c>
      <c r="I18">
        <v>65.423045679758104</v>
      </c>
      <c r="J18">
        <v>65.423045679758104</v>
      </c>
      <c r="K18">
        <v>118.611283305234</v>
      </c>
      <c r="L18">
        <v>75.131800651550293</v>
      </c>
      <c r="M18">
        <v>75.131800651550293</v>
      </c>
      <c r="N18" s="2">
        <v>4.2459114821846898E-6</v>
      </c>
      <c r="O18" s="3">
        <v>46049.431704432871</v>
      </c>
      <c r="P18" s="3">
        <v>46049.432721435187</v>
      </c>
      <c r="Q18" s="1" t="s">
        <v>31</v>
      </c>
      <c r="R18" s="1" t="s">
        <v>39</v>
      </c>
      <c r="T18">
        <f t="shared" si="0"/>
        <v>-65.423045679758104</v>
      </c>
    </row>
    <row r="19" spans="1:20" x14ac:dyDescent="0.3">
      <c r="A19">
        <v>18</v>
      </c>
      <c r="B19">
        <v>5</v>
      </c>
      <c r="C19">
        <v>1769509299.28319</v>
      </c>
      <c r="D19">
        <v>1769509387.11939</v>
      </c>
      <c r="E19">
        <v>87.836203734805594</v>
      </c>
      <c r="F19">
        <v>1769509294</v>
      </c>
      <c r="G19">
        <v>1769509315</v>
      </c>
      <c r="H19">
        <v>21.004000000000001</v>
      </c>
      <c r="I19">
        <v>66.832203734805603</v>
      </c>
      <c r="J19">
        <v>66.832203734805603</v>
      </c>
      <c r="K19">
        <v>122.80793574706099</v>
      </c>
      <c r="L19">
        <v>72.119394302368093</v>
      </c>
      <c r="M19">
        <v>72.119394302368093</v>
      </c>
      <c r="N19" s="2">
        <v>4.0756718385906398E-6</v>
      </c>
      <c r="O19" s="3">
        <v>46049.431704664348</v>
      </c>
      <c r="P19" s="3">
        <v>46049.43272128472</v>
      </c>
      <c r="Q19" s="1" t="s">
        <v>36</v>
      </c>
      <c r="R19" s="1" t="s">
        <v>40</v>
      </c>
      <c r="T19">
        <f t="shared" si="0"/>
        <v>-66.832203734805589</v>
      </c>
    </row>
    <row r="20" spans="1:20" x14ac:dyDescent="0.3">
      <c r="A20">
        <v>19</v>
      </c>
      <c r="B20">
        <v>2</v>
      </c>
      <c r="C20">
        <v>1769509299.2904799</v>
      </c>
      <c r="D20">
        <v>1769509387.0931499</v>
      </c>
      <c r="E20">
        <v>87.802671234749596</v>
      </c>
      <c r="F20">
        <v>1769509299</v>
      </c>
      <c r="G20">
        <v>1769509329</v>
      </c>
      <c r="H20">
        <v>30.536999999999999</v>
      </c>
      <c r="I20">
        <v>57.265671234749597</v>
      </c>
      <c r="J20">
        <v>57.265671234749597</v>
      </c>
      <c r="K20">
        <v>96.781866363566394</v>
      </c>
      <c r="L20">
        <v>58.093156814575103</v>
      </c>
      <c r="M20">
        <v>58.093156814575103</v>
      </c>
      <c r="N20" s="2">
        <v>3.28300930144309E-6</v>
      </c>
      <c r="O20" s="3">
        <v>46049.431704745373</v>
      </c>
      <c r="P20" s="3">
        <v>46049.432720983794</v>
      </c>
      <c r="Q20" s="1" t="s">
        <v>35</v>
      </c>
      <c r="R20" s="1" t="s">
        <v>41</v>
      </c>
      <c r="T20">
        <f t="shared" si="0"/>
        <v>-57.265671234749597</v>
      </c>
    </row>
    <row r="21" spans="1:20" x14ac:dyDescent="0.3">
      <c r="A21">
        <v>20</v>
      </c>
      <c r="B21">
        <v>3</v>
      </c>
      <c r="C21">
        <v>1769509299.32288</v>
      </c>
      <c r="D21">
        <v>1769509387.0968299</v>
      </c>
      <c r="E21">
        <v>87.7739530715657</v>
      </c>
      <c r="F21">
        <v>1769509308</v>
      </c>
      <c r="G21">
        <v>1769509335</v>
      </c>
      <c r="H21">
        <v>27.657</v>
      </c>
      <c r="I21">
        <v>60.116953071565703</v>
      </c>
      <c r="J21">
        <v>60.116953071565703</v>
      </c>
      <c r="K21">
        <v>104.16088834386299</v>
      </c>
      <c r="L21">
        <v>52.096835851669297</v>
      </c>
      <c r="M21">
        <v>52.096835851669297</v>
      </c>
      <c r="N21" s="2">
        <v>2.94414016667323E-6</v>
      </c>
      <c r="O21" s="3">
        <v>46049.431705127317</v>
      </c>
      <c r="P21" s="3">
        <v>46049.432721030091</v>
      </c>
      <c r="Q21" s="1" t="s">
        <v>38</v>
      </c>
      <c r="R21" s="1" t="s">
        <v>42</v>
      </c>
      <c r="T21">
        <f t="shared" si="0"/>
        <v>-60.116953071565703</v>
      </c>
    </row>
    <row r="22" spans="1:20" x14ac:dyDescent="0.3">
      <c r="A22">
        <v>21</v>
      </c>
      <c r="B22">
        <v>2</v>
      </c>
      <c r="C22">
        <v>1769509387.0931499</v>
      </c>
      <c r="D22">
        <v>1769509494.4519401</v>
      </c>
      <c r="E22">
        <v>107.35879305050101</v>
      </c>
      <c r="F22">
        <v>1769509495</v>
      </c>
      <c r="G22">
        <v>1769509558</v>
      </c>
      <c r="H22">
        <v>63.561</v>
      </c>
      <c r="I22">
        <v>43.797793050501397</v>
      </c>
      <c r="J22">
        <v>43.797793050501397</v>
      </c>
      <c r="K22">
        <v>51.249527358789301</v>
      </c>
      <c r="L22">
        <v>-63.548050165176299</v>
      </c>
      <c r="M22">
        <v>63.548050165176299</v>
      </c>
      <c r="N22" s="2">
        <v>3.5912804776311201E-6</v>
      </c>
      <c r="O22" s="3">
        <v>46049.432720983794</v>
      </c>
      <c r="P22" s="3">
        <v>46049.433963564814</v>
      </c>
      <c r="Q22" s="1" t="s">
        <v>43</v>
      </c>
      <c r="R22" s="1" t="s">
        <v>44</v>
      </c>
      <c r="T22">
        <f t="shared" si="0"/>
        <v>-43.797793050501006</v>
      </c>
    </row>
    <row r="23" spans="1:20" x14ac:dyDescent="0.3">
      <c r="A23">
        <v>22</v>
      </c>
      <c r="B23">
        <v>3</v>
      </c>
      <c r="C23">
        <v>1769509387.0968299</v>
      </c>
      <c r="D23">
        <v>1769509494.44175</v>
      </c>
      <c r="E23">
        <v>107.34491685630501</v>
      </c>
      <c r="F23">
        <v>1769509495</v>
      </c>
      <c r="G23">
        <v>1769509563</v>
      </c>
      <c r="H23">
        <v>67.817999999999998</v>
      </c>
      <c r="I23">
        <v>39.526916856305697</v>
      </c>
      <c r="J23">
        <v>39.526916856305697</v>
      </c>
      <c r="K23">
        <v>45.131603841390103</v>
      </c>
      <c r="L23">
        <v>-68.558247327804494</v>
      </c>
      <c r="M23">
        <v>68.558247327804494</v>
      </c>
      <c r="N23" s="2">
        <v>3.8744209180587498E-6</v>
      </c>
      <c r="O23" s="3">
        <v>46049.432721030091</v>
      </c>
      <c r="P23" s="3">
        <v>46049.433963449075</v>
      </c>
      <c r="Q23" s="1" t="s">
        <v>43</v>
      </c>
      <c r="R23" s="1" t="s">
        <v>45</v>
      </c>
      <c r="T23">
        <f t="shared" si="0"/>
        <v>-39.526916856305007</v>
      </c>
    </row>
    <row r="24" spans="1:20" x14ac:dyDescent="0.3">
      <c r="A24">
        <v>23</v>
      </c>
      <c r="B24">
        <v>5</v>
      </c>
      <c r="C24">
        <v>1769509387.11939</v>
      </c>
      <c r="D24">
        <v>1769509494.4321401</v>
      </c>
      <c r="E24">
        <v>107.31274757579099</v>
      </c>
      <c r="F24">
        <v>1769509495</v>
      </c>
      <c r="G24">
        <v>1769509566</v>
      </c>
      <c r="H24">
        <v>70.855999999999995</v>
      </c>
      <c r="I24">
        <v>36.456747575791802</v>
      </c>
      <c r="J24">
        <v>36.456747575791802</v>
      </c>
      <c r="K24">
        <v>40.9238411021364</v>
      </c>
      <c r="L24">
        <v>-71.5678582191467</v>
      </c>
      <c r="M24">
        <v>71.5678582191467</v>
      </c>
      <c r="N24" s="2">
        <v>4.04450255831104E-6</v>
      </c>
      <c r="O24" s="3">
        <v>46049.43272128472</v>
      </c>
      <c r="P24" s="3">
        <v>46049.433963333337</v>
      </c>
      <c r="Q24" s="1" t="s">
        <v>43</v>
      </c>
      <c r="R24" s="1" t="s">
        <v>46</v>
      </c>
      <c r="T24">
        <f t="shared" si="0"/>
        <v>-36.456747575790999</v>
      </c>
    </row>
    <row r="25" spans="1:20" x14ac:dyDescent="0.3">
      <c r="A25">
        <v>24</v>
      </c>
      <c r="B25">
        <v>1</v>
      </c>
      <c r="C25">
        <v>1769509387.1317999</v>
      </c>
      <c r="D25">
        <v>1769509494.4370301</v>
      </c>
      <c r="E25">
        <v>107.305231539069</v>
      </c>
      <c r="F25">
        <v>1769509496</v>
      </c>
      <c r="G25">
        <v>1769509554</v>
      </c>
      <c r="H25">
        <v>57.874000000000002</v>
      </c>
      <c r="I25">
        <v>49.431231539069302</v>
      </c>
      <c r="J25">
        <v>49.431231539069302</v>
      </c>
      <c r="K25">
        <v>59.851630351455597</v>
      </c>
      <c r="L25">
        <v>-59.562967777252197</v>
      </c>
      <c r="M25">
        <v>59.562967777252197</v>
      </c>
      <c r="N25" s="2">
        <v>3.3660721777441401E-6</v>
      </c>
      <c r="O25" s="3">
        <v>46049.432721435187</v>
      </c>
      <c r="P25" s="3">
        <v>46049.433963391202</v>
      </c>
      <c r="Q25" s="1" t="s">
        <v>47</v>
      </c>
      <c r="R25" s="1" t="s">
        <v>48</v>
      </c>
      <c r="T25">
        <f t="shared" si="0"/>
        <v>-49.431231539068996</v>
      </c>
    </row>
    <row r="26" spans="1:20" x14ac:dyDescent="0.3">
      <c r="A26">
        <v>25</v>
      </c>
      <c r="B26">
        <v>4</v>
      </c>
      <c r="C26">
        <v>1769509387.15186</v>
      </c>
      <c r="D26">
        <v>1769509494.43664</v>
      </c>
      <c r="E26">
        <v>107.284786660824</v>
      </c>
      <c r="F26">
        <v>1769509497</v>
      </c>
      <c r="G26">
        <v>1769509558</v>
      </c>
      <c r="H26">
        <v>61.195</v>
      </c>
      <c r="I26">
        <v>46.089786660824799</v>
      </c>
      <c r="J26">
        <v>46.089786660824799</v>
      </c>
      <c r="K26">
        <v>54.712541574628801</v>
      </c>
      <c r="L26">
        <v>-63.563351631164501</v>
      </c>
      <c r="M26">
        <v>63.563351631164501</v>
      </c>
      <c r="N26" s="2">
        <v>3.5921452068702799E-6</v>
      </c>
      <c r="O26" s="3">
        <v>46049.432721666664</v>
      </c>
      <c r="P26" s="3">
        <v>46049.433963391202</v>
      </c>
      <c r="Q26" s="1" t="s">
        <v>49</v>
      </c>
      <c r="R26" s="1" t="s">
        <v>44</v>
      </c>
      <c r="T26">
        <f t="shared" si="0"/>
        <v>-46.089786660823997</v>
      </c>
    </row>
    <row r="27" spans="1:20" x14ac:dyDescent="0.3">
      <c r="A27">
        <v>26</v>
      </c>
      <c r="B27">
        <v>5</v>
      </c>
      <c r="C27">
        <v>1769509494.4321401</v>
      </c>
      <c r="D27">
        <v>1769509601.7012501</v>
      </c>
      <c r="E27">
        <v>107.26911022025401</v>
      </c>
      <c r="F27">
        <v>1769509554</v>
      </c>
      <c r="G27">
        <v>1769509610</v>
      </c>
      <c r="H27">
        <v>56.151000000000003</v>
      </c>
      <c r="I27">
        <v>51.118110220254202</v>
      </c>
      <c r="J27">
        <v>51.118110220254202</v>
      </c>
      <c r="K27">
        <v>62.560366837788003</v>
      </c>
      <c r="L27">
        <v>-8.2987480163574201</v>
      </c>
      <c r="M27">
        <v>8.2987480163574201</v>
      </c>
      <c r="N27" s="2">
        <v>4.6898575678362001E-7</v>
      </c>
      <c r="O27" s="3">
        <v>46049.433963333337</v>
      </c>
      <c r="P27" s="3">
        <v>46049.435204872687</v>
      </c>
      <c r="Q27" s="1" t="s">
        <v>48</v>
      </c>
      <c r="R27" s="1" t="s">
        <v>50</v>
      </c>
      <c r="T27">
        <f t="shared" si="0"/>
        <v>-51.118110220254003</v>
      </c>
    </row>
    <row r="28" spans="1:20" x14ac:dyDescent="0.3">
      <c r="A28">
        <v>27</v>
      </c>
      <c r="B28">
        <v>4</v>
      </c>
      <c r="C28">
        <v>1769509494.43664</v>
      </c>
      <c r="D28">
        <v>1769509601.66151</v>
      </c>
      <c r="E28">
        <v>107.224865005786</v>
      </c>
      <c r="F28">
        <v>1769509558</v>
      </c>
      <c r="G28">
        <v>1769509616</v>
      </c>
      <c r="H28">
        <v>57.597000000000001</v>
      </c>
      <c r="I28">
        <v>49.627865005786397</v>
      </c>
      <c r="J28">
        <v>49.627865005786397</v>
      </c>
      <c r="K28">
        <v>60.220001762562397</v>
      </c>
      <c r="L28">
        <v>-14.338486671447701</v>
      </c>
      <c r="M28">
        <v>14.338486671447701</v>
      </c>
      <c r="N28" s="2">
        <v>8.1030849450556104E-7</v>
      </c>
      <c r="O28" s="3">
        <v>46049.433963391202</v>
      </c>
      <c r="P28" s="3">
        <v>46049.435204421294</v>
      </c>
      <c r="Q28" s="1" t="s">
        <v>44</v>
      </c>
      <c r="R28" s="1" t="s">
        <v>51</v>
      </c>
      <c r="T28">
        <f t="shared" si="0"/>
        <v>-49.627865005785999</v>
      </c>
    </row>
    <row r="29" spans="1:20" x14ac:dyDescent="0.3">
      <c r="A29">
        <v>28</v>
      </c>
      <c r="B29">
        <v>1</v>
      </c>
      <c r="C29">
        <v>1769509494.4370301</v>
      </c>
      <c r="D29">
        <v>1769509601.63661</v>
      </c>
      <c r="E29">
        <v>107.19958285040499</v>
      </c>
      <c r="F29">
        <v>1769509558</v>
      </c>
      <c r="G29">
        <v>1769509619</v>
      </c>
      <c r="H29">
        <v>61.561</v>
      </c>
      <c r="I29">
        <v>45.638582850404902</v>
      </c>
      <c r="J29">
        <v>45.638582850404902</v>
      </c>
      <c r="K29">
        <v>54.086780312747003</v>
      </c>
      <c r="L29">
        <v>-17.363384962081899</v>
      </c>
      <c r="M29">
        <v>17.363384962081899</v>
      </c>
      <c r="N29" s="2">
        <v>9.8125406388488002E-7</v>
      </c>
      <c r="O29" s="3">
        <v>46049.433963391202</v>
      </c>
      <c r="P29" s="3">
        <v>46049.435204131943</v>
      </c>
      <c r="Q29" s="1" t="s">
        <v>44</v>
      </c>
      <c r="R29" s="1" t="s">
        <v>52</v>
      </c>
      <c r="T29">
        <f t="shared" si="0"/>
        <v>-45.638582850404994</v>
      </c>
    </row>
    <row r="30" spans="1:20" x14ac:dyDescent="0.3">
      <c r="A30">
        <v>29</v>
      </c>
      <c r="B30">
        <v>3</v>
      </c>
      <c r="C30">
        <v>1769509494.44175</v>
      </c>
      <c r="D30">
        <v>1769509601.6197</v>
      </c>
      <c r="E30">
        <v>107.17794902256399</v>
      </c>
      <c r="F30">
        <v>1769509563</v>
      </c>
      <c r="G30">
        <v>1769509623</v>
      </c>
      <c r="H30">
        <v>59.945</v>
      </c>
      <c r="I30">
        <v>47.2329490225641</v>
      </c>
      <c r="J30">
        <v>47.2329490225641</v>
      </c>
      <c r="K30">
        <v>56.524791237601903</v>
      </c>
      <c r="L30">
        <v>-21.380298376083299</v>
      </c>
      <c r="M30">
        <v>21.380298376083299</v>
      </c>
      <c r="N30" s="2">
        <v>1.20826121696927E-6</v>
      </c>
      <c r="O30" s="3">
        <v>46049.433963449075</v>
      </c>
      <c r="P30" s="3">
        <v>46049.435203935187</v>
      </c>
      <c r="Q30" s="1" t="s">
        <v>45</v>
      </c>
      <c r="R30" s="1" t="s">
        <v>53</v>
      </c>
      <c r="T30">
        <f t="shared" si="0"/>
        <v>-47.232949022563993</v>
      </c>
    </row>
    <row r="31" spans="1:20" x14ac:dyDescent="0.3">
      <c r="A31">
        <v>30</v>
      </c>
      <c r="B31">
        <v>2</v>
      </c>
      <c r="C31">
        <v>1769509494.4519401</v>
      </c>
      <c r="D31">
        <v>1769509601.6135001</v>
      </c>
      <c r="E31">
        <v>107.16155505481299</v>
      </c>
      <c r="F31">
        <v>1769509566</v>
      </c>
      <c r="G31">
        <v>1769509623</v>
      </c>
      <c r="H31">
        <v>57.597000000000001</v>
      </c>
      <c r="I31">
        <v>49.564555054813098</v>
      </c>
      <c r="J31">
        <v>49.564555054813098</v>
      </c>
      <c r="K31">
        <v>60.166290045847497</v>
      </c>
      <c r="L31">
        <v>-21.386495113372799</v>
      </c>
      <c r="M31">
        <v>21.386495113372799</v>
      </c>
      <c r="N31" s="2">
        <v>1.2086114121467301E-6</v>
      </c>
      <c r="O31" s="3">
        <v>46049.433963564814</v>
      </c>
      <c r="P31" s="3">
        <v>46049.435203865738</v>
      </c>
      <c r="Q31" s="1" t="s">
        <v>46</v>
      </c>
      <c r="R31" s="1" t="s">
        <v>53</v>
      </c>
      <c r="T31">
        <f t="shared" si="0"/>
        <v>-49.564555054812992</v>
      </c>
    </row>
    <row r="32" spans="1:20" x14ac:dyDescent="0.3">
      <c r="A32">
        <v>31</v>
      </c>
      <c r="B32">
        <v>2</v>
      </c>
      <c r="C32">
        <v>1769509601.6135001</v>
      </c>
      <c r="D32">
        <v>1769509708.75632</v>
      </c>
      <c r="E32">
        <v>107.142822590796</v>
      </c>
      <c r="F32">
        <v>1769509610</v>
      </c>
      <c r="G32">
        <v>1769509668</v>
      </c>
      <c r="H32">
        <v>57.92</v>
      </c>
      <c r="I32">
        <v>49.222822590796497</v>
      </c>
      <c r="J32">
        <v>49.222822590796497</v>
      </c>
      <c r="K32">
        <v>59.6413193694423</v>
      </c>
      <c r="L32">
        <v>40.756327390670698</v>
      </c>
      <c r="M32">
        <v>40.756327390670698</v>
      </c>
      <c r="N32" s="2">
        <v>2.3032553965853502E-6</v>
      </c>
      <c r="O32" s="3">
        <v>46049.435203865738</v>
      </c>
      <c r="P32" s="3">
        <v>46049.436443935185</v>
      </c>
      <c r="Q32" s="1" t="s">
        <v>50</v>
      </c>
      <c r="R32" s="1" t="s">
        <v>54</v>
      </c>
      <c r="T32">
        <f t="shared" si="0"/>
        <v>-49.222822590796</v>
      </c>
    </row>
    <row r="33" spans="1:20" x14ac:dyDescent="0.3">
      <c r="A33">
        <v>32</v>
      </c>
      <c r="B33">
        <v>3</v>
      </c>
      <c r="C33">
        <v>1769509601.6197</v>
      </c>
      <c r="D33">
        <v>1769509708.73806</v>
      </c>
      <c r="E33">
        <v>107.11836300964799</v>
      </c>
      <c r="F33">
        <v>1769509616</v>
      </c>
      <c r="G33">
        <v>1769509675</v>
      </c>
      <c r="H33">
        <v>59.2</v>
      </c>
      <c r="I33">
        <v>47.918363009648203</v>
      </c>
      <c r="J33">
        <v>47.918363009648203</v>
      </c>
      <c r="K33">
        <v>57.622456285080702</v>
      </c>
      <c r="L33">
        <v>33.738064527511597</v>
      </c>
      <c r="M33">
        <v>33.738064527511597</v>
      </c>
      <c r="N33" s="2">
        <v>1.9066334975467599E-6</v>
      </c>
      <c r="O33" s="3">
        <v>46049.435203935187</v>
      </c>
      <c r="P33" s="3">
        <v>46049.436443726852</v>
      </c>
      <c r="Q33" s="1" t="s">
        <v>51</v>
      </c>
      <c r="R33" s="1" t="s">
        <v>55</v>
      </c>
      <c r="T33">
        <f t="shared" si="0"/>
        <v>-47.91836300964799</v>
      </c>
    </row>
    <row r="34" spans="1:20" x14ac:dyDescent="0.3">
      <c r="A34">
        <v>33</v>
      </c>
      <c r="B34">
        <v>1</v>
      </c>
      <c r="C34">
        <v>1769509601.63661</v>
      </c>
      <c r="D34">
        <v>1769509708.7395699</v>
      </c>
      <c r="E34">
        <v>107.10295758982301</v>
      </c>
      <c r="F34">
        <v>1769509619</v>
      </c>
      <c r="G34">
        <v>1769509677</v>
      </c>
      <c r="H34">
        <v>58.26</v>
      </c>
      <c r="I34">
        <v>48.8429575898233</v>
      </c>
      <c r="J34">
        <v>48.8429575898233</v>
      </c>
      <c r="K34">
        <v>59.073638137238</v>
      </c>
      <c r="L34">
        <v>31.7395725250244</v>
      </c>
      <c r="M34">
        <v>31.7395725250244</v>
      </c>
      <c r="N34" s="2">
        <v>1.79369305819112E-6</v>
      </c>
      <c r="O34" s="3">
        <v>46049.435204131943</v>
      </c>
      <c r="P34" s="3">
        <v>46049.436443749997</v>
      </c>
      <c r="Q34" s="1" t="s">
        <v>52</v>
      </c>
      <c r="R34" s="1" t="s">
        <v>56</v>
      </c>
      <c r="T34">
        <f t="shared" si="0"/>
        <v>-48.842957589823008</v>
      </c>
    </row>
    <row r="35" spans="1:20" x14ac:dyDescent="0.3">
      <c r="A35">
        <v>34</v>
      </c>
      <c r="B35">
        <v>4</v>
      </c>
      <c r="C35">
        <v>1769509601.66151</v>
      </c>
      <c r="D35">
        <v>1769509708.7290001</v>
      </c>
      <c r="E35">
        <v>107.067495336706</v>
      </c>
      <c r="F35">
        <v>1769509623</v>
      </c>
      <c r="G35">
        <v>1769509686</v>
      </c>
      <c r="H35">
        <v>62.625</v>
      </c>
      <c r="I35">
        <v>44.4424953367066</v>
      </c>
      <c r="J35">
        <v>44.4424953367066</v>
      </c>
      <c r="K35">
        <v>52.380036310413303</v>
      </c>
      <c r="L35">
        <v>22.7290086746215</v>
      </c>
      <c r="M35">
        <v>22.7290086746215</v>
      </c>
      <c r="N35" s="2">
        <v>1.28448059417103E-6</v>
      </c>
      <c r="O35" s="3">
        <v>46049.435204421294</v>
      </c>
      <c r="P35" s="3">
        <v>46049.436443622682</v>
      </c>
      <c r="Q35" s="1" t="s">
        <v>53</v>
      </c>
      <c r="R35" s="1" t="s">
        <v>57</v>
      </c>
      <c r="T35">
        <f t="shared" si="0"/>
        <v>-44.442495336706003</v>
      </c>
    </row>
    <row r="36" spans="1:20" x14ac:dyDescent="0.3">
      <c r="A36">
        <v>35</v>
      </c>
      <c r="B36">
        <v>5</v>
      </c>
      <c r="C36">
        <v>1769509601.7012501</v>
      </c>
      <c r="D36">
        <v>1769509708.7541101</v>
      </c>
      <c r="E36">
        <v>107.052864383695</v>
      </c>
      <c r="F36">
        <v>1769509623</v>
      </c>
      <c r="G36">
        <v>1769509678</v>
      </c>
      <c r="H36">
        <v>54.713999999999999</v>
      </c>
      <c r="I36">
        <v>52.338864383695402</v>
      </c>
      <c r="J36">
        <v>52.338864383695402</v>
      </c>
      <c r="K36">
        <v>64.709005250361599</v>
      </c>
      <c r="L36">
        <v>30.7541162967681</v>
      </c>
      <c r="M36">
        <v>30.7541162967681</v>
      </c>
      <c r="N36" s="2">
        <v>1.7380021376472199E-6</v>
      </c>
      <c r="O36" s="3">
        <v>46049.435204872687</v>
      </c>
      <c r="P36" s="3">
        <v>46049.43644391204</v>
      </c>
      <c r="Q36" s="1" t="s">
        <v>53</v>
      </c>
      <c r="R36" s="1" t="s">
        <v>58</v>
      </c>
      <c r="T36">
        <f t="shared" si="0"/>
        <v>-52.338864383694997</v>
      </c>
    </row>
    <row r="37" spans="1:20" x14ac:dyDescent="0.3">
      <c r="A37">
        <v>36</v>
      </c>
      <c r="B37">
        <v>4</v>
      </c>
      <c r="C37">
        <v>1769509708.7290001</v>
      </c>
      <c r="D37">
        <v>1769509815.7372701</v>
      </c>
      <c r="E37">
        <v>107.008269993035</v>
      </c>
      <c r="F37">
        <v>1769509668</v>
      </c>
      <c r="G37">
        <v>1769509728</v>
      </c>
      <c r="H37">
        <v>60.274999999999999</v>
      </c>
      <c r="I37">
        <v>46.733269993035101</v>
      </c>
      <c r="J37">
        <v>46.733269993035101</v>
      </c>
      <c r="K37">
        <v>55.873214332767297</v>
      </c>
      <c r="L37">
        <v>87.737278699874807</v>
      </c>
      <c r="M37">
        <v>87.737278699874807</v>
      </c>
      <c r="N37" s="2">
        <v>4.9582816718340197E-6</v>
      </c>
      <c r="O37" s="3">
        <v>46049.436443622682</v>
      </c>
      <c r="P37" s="3">
        <v>46049.437682141201</v>
      </c>
      <c r="Q37" s="1" t="s">
        <v>54</v>
      </c>
      <c r="R37" s="1" t="s">
        <v>59</v>
      </c>
      <c r="T37">
        <f t="shared" si="0"/>
        <v>-46.733269993035002</v>
      </c>
    </row>
    <row r="38" spans="1:20" x14ac:dyDescent="0.3">
      <c r="A38">
        <v>37</v>
      </c>
      <c r="B38">
        <v>3</v>
      </c>
      <c r="C38">
        <v>1769509708.73806</v>
      </c>
      <c r="D38">
        <v>1769509815.7349</v>
      </c>
      <c r="E38">
        <v>106.99683662951</v>
      </c>
      <c r="F38">
        <v>1769509675</v>
      </c>
      <c r="G38">
        <v>1769509737</v>
      </c>
      <c r="H38">
        <v>61.646000000000001</v>
      </c>
      <c r="I38">
        <v>45.350836629510098</v>
      </c>
      <c r="J38">
        <v>45.350836629510098</v>
      </c>
      <c r="K38">
        <v>53.783294370386997</v>
      </c>
      <c r="L38">
        <v>78.734901189804006</v>
      </c>
      <c r="M38">
        <v>78.734901189804006</v>
      </c>
      <c r="N38" s="2">
        <v>4.4495318557343898E-6</v>
      </c>
      <c r="O38" s="3">
        <v>46049.436443726852</v>
      </c>
      <c r="P38" s="3">
        <v>46049.437682118056</v>
      </c>
      <c r="Q38" s="1" t="s">
        <v>55</v>
      </c>
      <c r="R38" s="1" t="s">
        <v>60</v>
      </c>
      <c r="T38">
        <f t="shared" si="0"/>
        <v>-45.350836629509999</v>
      </c>
    </row>
    <row r="39" spans="1:20" x14ac:dyDescent="0.3">
      <c r="A39">
        <v>38</v>
      </c>
      <c r="B39">
        <v>1</v>
      </c>
      <c r="C39">
        <v>1769509708.7395699</v>
      </c>
      <c r="D39">
        <v>1769509815.71557</v>
      </c>
      <c r="E39">
        <v>106.976005477033</v>
      </c>
      <c r="F39">
        <v>1769509677</v>
      </c>
      <c r="G39">
        <v>1769509737</v>
      </c>
      <c r="H39">
        <v>59.323</v>
      </c>
      <c r="I39">
        <v>47.653005477033098</v>
      </c>
      <c r="J39">
        <v>47.653005477033098</v>
      </c>
      <c r="K39">
        <v>57.310030616646401</v>
      </c>
      <c r="L39">
        <v>78.715578079223604</v>
      </c>
      <c r="M39">
        <v>78.715578079223604</v>
      </c>
      <c r="N39" s="2">
        <v>4.4484398521518804E-6</v>
      </c>
      <c r="O39" s="3">
        <v>46049.436443749997</v>
      </c>
      <c r="P39" s="3">
        <v>46049.437681898147</v>
      </c>
      <c r="Q39" s="1" t="s">
        <v>56</v>
      </c>
      <c r="R39" s="1" t="s">
        <v>60</v>
      </c>
      <c r="T39">
        <f t="shared" si="0"/>
        <v>-47.653005477032998</v>
      </c>
    </row>
    <row r="40" spans="1:20" x14ac:dyDescent="0.3">
      <c r="A40">
        <v>39</v>
      </c>
      <c r="B40">
        <v>5</v>
      </c>
      <c r="C40">
        <v>1769509708.7541101</v>
      </c>
      <c r="D40">
        <v>1769509815.7077</v>
      </c>
      <c r="E40">
        <v>106.95358906915401</v>
      </c>
      <c r="F40">
        <v>1769509678</v>
      </c>
      <c r="G40">
        <v>1769509733</v>
      </c>
      <c r="H40">
        <v>55.411999999999999</v>
      </c>
      <c r="I40">
        <v>51.541589069154497</v>
      </c>
      <c r="J40">
        <v>51.541589069154497</v>
      </c>
      <c r="K40">
        <v>63.4883159229041</v>
      </c>
      <c r="L40">
        <v>82.707705259323106</v>
      </c>
      <c r="M40">
        <v>82.707705259323106</v>
      </c>
      <c r="N40" s="2">
        <v>4.6740462504381603E-6</v>
      </c>
      <c r="O40" s="3">
        <v>46049.43644391204</v>
      </c>
      <c r="P40" s="3">
        <v>46049.437681805553</v>
      </c>
      <c r="Q40" s="1" t="s">
        <v>58</v>
      </c>
      <c r="R40" s="1" t="s">
        <v>61</v>
      </c>
      <c r="T40">
        <f t="shared" si="0"/>
        <v>-51.541589069154007</v>
      </c>
    </row>
    <row r="41" spans="1:20" x14ac:dyDescent="0.3">
      <c r="A41">
        <v>40</v>
      </c>
      <c r="B41">
        <v>2</v>
      </c>
      <c r="C41">
        <v>1769509708.75632</v>
      </c>
      <c r="D41">
        <v>1769509815.6887701</v>
      </c>
      <c r="E41">
        <v>106.93244269536901</v>
      </c>
      <c r="F41">
        <v>1769509686</v>
      </c>
      <c r="G41">
        <v>1769509745</v>
      </c>
      <c r="H41">
        <v>59.893000000000001</v>
      </c>
      <c r="I41">
        <v>47.039442695369601</v>
      </c>
      <c r="J41">
        <v>47.039442695369601</v>
      </c>
      <c r="K41">
        <v>56.393607516169602</v>
      </c>
      <c r="L41">
        <v>70.688770055770803</v>
      </c>
      <c r="M41">
        <v>70.688770055770803</v>
      </c>
      <c r="N41" s="2">
        <v>3.9948222293528802E-6</v>
      </c>
      <c r="O41" s="3">
        <v>46049.436443935185</v>
      </c>
      <c r="P41" s="3">
        <v>46049.437681585645</v>
      </c>
      <c r="Q41" s="1" t="s">
        <v>57</v>
      </c>
      <c r="R41" s="1" t="s">
        <v>62</v>
      </c>
      <c r="T41">
        <f t="shared" si="0"/>
        <v>-47.039442695369004</v>
      </c>
    </row>
    <row r="42" spans="1:20" x14ac:dyDescent="0.3">
      <c r="A42">
        <v>41</v>
      </c>
      <c r="B42">
        <v>2</v>
      </c>
      <c r="C42">
        <v>1769509815.6887701</v>
      </c>
      <c r="D42">
        <v>1769509922.58971</v>
      </c>
      <c r="E42">
        <v>106.900942755106</v>
      </c>
      <c r="F42">
        <v>1769509728</v>
      </c>
      <c r="G42">
        <v>1769509785</v>
      </c>
      <c r="H42">
        <v>56.9</v>
      </c>
      <c r="I42">
        <v>50.000942755106003</v>
      </c>
      <c r="J42">
        <v>50.000942755106003</v>
      </c>
      <c r="K42">
        <v>61.050860775399698</v>
      </c>
      <c r="L42">
        <v>137.58971285819999</v>
      </c>
      <c r="M42">
        <v>137.58971285819999</v>
      </c>
      <c r="N42" s="2">
        <v>7.7755833098712497E-6</v>
      </c>
      <c r="O42" s="3">
        <v>46049.437681585645</v>
      </c>
      <c r="P42" s="3">
        <v>46049.438918865744</v>
      </c>
      <c r="Q42" s="1" t="s">
        <v>59</v>
      </c>
      <c r="R42" s="1" t="s">
        <v>63</v>
      </c>
      <c r="T42">
        <f t="shared" si="0"/>
        <v>-50.000942755106003</v>
      </c>
    </row>
    <row r="43" spans="1:20" x14ac:dyDescent="0.3">
      <c r="A43">
        <v>42</v>
      </c>
      <c r="B43">
        <v>5</v>
      </c>
      <c r="C43">
        <v>1769509815.7077</v>
      </c>
      <c r="D43">
        <v>1769509922.5888</v>
      </c>
      <c r="E43">
        <v>106.88109727637701</v>
      </c>
      <c r="F43">
        <v>1769509733</v>
      </c>
      <c r="G43">
        <v>1769509794</v>
      </c>
      <c r="H43">
        <v>60.628</v>
      </c>
      <c r="I43">
        <v>46.2530972763779</v>
      </c>
      <c r="J43">
        <v>46.2530972763779</v>
      </c>
      <c r="K43">
        <v>55.224579474705997</v>
      </c>
      <c r="L43">
        <v>128.58880257606501</v>
      </c>
      <c r="M43">
        <v>128.58880257606501</v>
      </c>
      <c r="N43" s="2">
        <v>7.2669164273551696E-6</v>
      </c>
      <c r="O43" s="3">
        <v>46049.437681805553</v>
      </c>
      <c r="P43" s="3">
        <v>46049.438918854168</v>
      </c>
      <c r="Q43" s="1" t="s">
        <v>61</v>
      </c>
      <c r="R43" s="1" t="s">
        <v>64</v>
      </c>
      <c r="T43">
        <f t="shared" si="0"/>
        <v>-46.253097276377005</v>
      </c>
    </row>
    <row r="44" spans="1:20" x14ac:dyDescent="0.3">
      <c r="A44">
        <v>43</v>
      </c>
      <c r="B44">
        <v>1</v>
      </c>
      <c r="C44">
        <v>1769509815.71557</v>
      </c>
      <c r="D44">
        <v>1769509922.57165</v>
      </c>
      <c r="E44">
        <v>106.85607935743499</v>
      </c>
      <c r="F44">
        <v>1769509736</v>
      </c>
      <c r="G44">
        <v>1769509795</v>
      </c>
      <c r="H44">
        <v>58.323999999999998</v>
      </c>
      <c r="I44">
        <v>48.532079357435798</v>
      </c>
      <c r="J44">
        <v>48.532079357435798</v>
      </c>
      <c r="K44">
        <v>58.762629908194299</v>
      </c>
      <c r="L44">
        <v>127.571657419204</v>
      </c>
      <c r="M44">
        <v>127.571657419204</v>
      </c>
      <c r="N44" s="2">
        <v>7.2094346796541501E-6</v>
      </c>
      <c r="O44" s="3">
        <v>46049.437681898147</v>
      </c>
      <c r="P44" s="3">
        <v>46049.438918657404</v>
      </c>
      <c r="Q44" s="1" t="s">
        <v>65</v>
      </c>
      <c r="R44" s="1" t="s">
        <v>66</v>
      </c>
      <c r="T44">
        <f t="shared" si="0"/>
        <v>-48.532079357434995</v>
      </c>
    </row>
    <row r="45" spans="1:20" x14ac:dyDescent="0.3">
      <c r="A45">
        <v>44</v>
      </c>
      <c r="B45">
        <v>3</v>
      </c>
      <c r="C45">
        <v>1769509815.7349</v>
      </c>
      <c r="D45">
        <v>1769509922.5634</v>
      </c>
      <c r="E45">
        <v>106.828499510622</v>
      </c>
      <c r="F45">
        <v>1769509737</v>
      </c>
      <c r="G45">
        <v>1769509793</v>
      </c>
      <c r="H45">
        <v>56.725999999999999</v>
      </c>
      <c r="I45">
        <v>50.102499510622302</v>
      </c>
      <c r="J45">
        <v>50.102499510622302</v>
      </c>
      <c r="K45">
        <v>61.2670390121163</v>
      </c>
      <c r="L45">
        <v>129.56340074539099</v>
      </c>
      <c r="M45">
        <v>129.56340074539099</v>
      </c>
      <c r="N45" s="2">
        <v>7.3219937247377403E-6</v>
      </c>
      <c r="O45" s="3">
        <v>46049.437682118056</v>
      </c>
      <c r="P45" s="3">
        <v>46049.438918553242</v>
      </c>
      <c r="Q45" s="1" t="s">
        <v>60</v>
      </c>
      <c r="R45" s="1" t="s">
        <v>67</v>
      </c>
      <c r="T45">
        <f t="shared" si="0"/>
        <v>-50.102499510621996</v>
      </c>
    </row>
    <row r="46" spans="1:20" x14ac:dyDescent="0.3">
      <c r="A46">
        <v>45</v>
      </c>
      <c r="B46">
        <v>4</v>
      </c>
      <c r="C46">
        <v>1769509815.7372701</v>
      </c>
      <c r="D46">
        <v>1769509922.5465701</v>
      </c>
      <c r="E46">
        <v>106.809292078298</v>
      </c>
      <c r="F46">
        <v>1769509745</v>
      </c>
      <c r="G46">
        <v>1769509803</v>
      </c>
      <c r="H46">
        <v>57.125999999999998</v>
      </c>
      <c r="I46">
        <v>49.683292078298599</v>
      </c>
      <c r="J46">
        <v>49.683292078298599</v>
      </c>
      <c r="K46">
        <v>60.613296195634199</v>
      </c>
      <c r="L46">
        <v>119.546570777893</v>
      </c>
      <c r="M46">
        <v>119.546570777893</v>
      </c>
      <c r="N46" s="2">
        <v>6.7559143519286302E-6</v>
      </c>
      <c r="O46" s="3">
        <v>46049.437682141201</v>
      </c>
      <c r="P46" s="3">
        <v>46049.438918368054</v>
      </c>
      <c r="Q46" s="1" t="s">
        <v>62</v>
      </c>
      <c r="R46" s="1" t="s">
        <v>68</v>
      </c>
      <c r="T46">
        <f t="shared" si="0"/>
        <v>-49.683292078298003</v>
      </c>
    </row>
    <row r="47" spans="1:20" x14ac:dyDescent="0.3">
      <c r="A47">
        <v>46</v>
      </c>
      <c r="B47">
        <v>4</v>
      </c>
      <c r="C47">
        <v>1769509922.5465701</v>
      </c>
      <c r="D47">
        <v>1769510029.3071201</v>
      </c>
      <c r="E47">
        <v>106.760551537502</v>
      </c>
      <c r="F47">
        <v>1769509785</v>
      </c>
      <c r="G47">
        <v>1769509848</v>
      </c>
      <c r="H47">
        <v>63.094999999999999</v>
      </c>
      <c r="I47">
        <v>43.6655515375029</v>
      </c>
      <c r="J47">
        <v>43.6655515375029</v>
      </c>
      <c r="K47">
        <v>51.414924201475799</v>
      </c>
      <c r="L47">
        <v>181.30712223052899</v>
      </c>
      <c r="M47">
        <v>181.30712223052899</v>
      </c>
      <c r="N47" s="2">
        <v>1.02461771064415E-5</v>
      </c>
      <c r="O47" s="3">
        <v>46049.438918368054</v>
      </c>
      <c r="P47" s="3">
        <v>46049.440154016207</v>
      </c>
      <c r="Q47" s="1" t="s">
        <v>63</v>
      </c>
      <c r="R47" s="1" t="s">
        <v>69</v>
      </c>
      <c r="T47">
        <f t="shared" si="0"/>
        <v>-43.665551537501997</v>
      </c>
    </row>
    <row r="48" spans="1:20" x14ac:dyDescent="0.3">
      <c r="A48">
        <v>47</v>
      </c>
      <c r="B48">
        <v>3</v>
      </c>
      <c r="C48">
        <v>1769509922.5634</v>
      </c>
      <c r="D48">
        <v>1769510029.3192699</v>
      </c>
      <c r="E48">
        <v>106.755877122303</v>
      </c>
      <c r="F48">
        <v>1769509793</v>
      </c>
      <c r="G48">
        <v>1769509850</v>
      </c>
      <c r="H48">
        <v>57.386000000000003</v>
      </c>
      <c r="I48">
        <v>49.369877122303798</v>
      </c>
      <c r="J48">
        <v>49.369877122303798</v>
      </c>
      <c r="K48">
        <v>60.1551267572233</v>
      </c>
      <c r="L48">
        <v>179.31927776336599</v>
      </c>
      <c r="M48">
        <v>179.31927776336599</v>
      </c>
      <c r="N48" s="2">
        <v>1.01338384003572E-5</v>
      </c>
      <c r="O48" s="3">
        <v>46049.438918553242</v>
      </c>
      <c r="P48" s="3">
        <v>46049.440154155091</v>
      </c>
      <c r="Q48" s="1" t="s">
        <v>67</v>
      </c>
      <c r="R48" s="1" t="s">
        <v>70</v>
      </c>
      <c r="T48">
        <f t="shared" si="0"/>
        <v>-49.369877122303002</v>
      </c>
    </row>
    <row r="49" spans="1:20" x14ac:dyDescent="0.3">
      <c r="A49">
        <v>48</v>
      </c>
      <c r="B49">
        <v>1</v>
      </c>
      <c r="C49">
        <v>1769509922.57165</v>
      </c>
      <c r="D49">
        <v>1769510029.3044</v>
      </c>
      <c r="E49">
        <v>106.732748104065</v>
      </c>
      <c r="F49">
        <v>1769509794</v>
      </c>
      <c r="G49">
        <v>1769509854</v>
      </c>
      <c r="H49">
        <v>60.398000000000003</v>
      </c>
      <c r="I49">
        <v>46.334748104065298</v>
      </c>
      <c r="J49">
        <v>46.334748104065298</v>
      </c>
      <c r="K49">
        <v>55.447305333922898</v>
      </c>
      <c r="L49">
        <v>175.30440545082001</v>
      </c>
      <c r="M49">
        <v>175.30440545082001</v>
      </c>
      <c r="N49" s="2">
        <v>9.9069466254107602E-6</v>
      </c>
      <c r="O49" s="3">
        <v>46049.438918657404</v>
      </c>
      <c r="P49" s="3">
        <v>46049.440153981479</v>
      </c>
      <c r="Q49" s="1" t="s">
        <v>64</v>
      </c>
      <c r="R49" s="1" t="s">
        <v>71</v>
      </c>
      <c r="T49">
        <f t="shared" si="0"/>
        <v>-46.334748104064992</v>
      </c>
    </row>
    <row r="50" spans="1:20" x14ac:dyDescent="0.3">
      <c r="A50">
        <v>49</v>
      </c>
      <c r="B50">
        <v>5</v>
      </c>
      <c r="C50">
        <v>1769509922.5888</v>
      </c>
      <c r="D50">
        <v>1769510029.30072</v>
      </c>
      <c r="E50">
        <v>106.711918418442</v>
      </c>
      <c r="F50">
        <v>1769509795</v>
      </c>
      <c r="G50">
        <v>1769509853</v>
      </c>
      <c r="H50">
        <v>58.515999999999998</v>
      </c>
      <c r="I50">
        <v>48.195918418442702</v>
      </c>
      <c r="J50">
        <v>48.195918418442702</v>
      </c>
      <c r="K50">
        <v>58.338710406537601</v>
      </c>
      <c r="L50">
        <v>176.300720930099</v>
      </c>
      <c r="M50">
        <v>176.300720930099</v>
      </c>
      <c r="N50" s="2">
        <v>9.9632512273701104E-6</v>
      </c>
      <c r="O50" s="3">
        <v>46049.438918854168</v>
      </c>
      <c r="P50" s="3">
        <v>46049.440153946758</v>
      </c>
      <c r="Q50" s="1" t="s">
        <v>66</v>
      </c>
      <c r="R50" s="1" t="s">
        <v>72</v>
      </c>
      <c r="T50">
        <f t="shared" si="0"/>
        <v>-48.195918418441998</v>
      </c>
    </row>
    <row r="51" spans="1:20" x14ac:dyDescent="0.3">
      <c r="A51">
        <v>50</v>
      </c>
      <c r="B51">
        <v>2</v>
      </c>
      <c r="C51">
        <v>1769509922.58971</v>
      </c>
      <c r="D51">
        <v>1769510029.27753</v>
      </c>
      <c r="E51">
        <v>106.68781796131999</v>
      </c>
      <c r="F51">
        <v>1769509803</v>
      </c>
      <c r="G51">
        <v>1769509864</v>
      </c>
      <c r="H51">
        <v>60.387</v>
      </c>
      <c r="I51">
        <v>46.300817961320803</v>
      </c>
      <c r="J51">
        <v>46.300817961320803</v>
      </c>
      <c r="K51">
        <v>55.425250227763001</v>
      </c>
      <c r="L51">
        <v>165.277530908584</v>
      </c>
      <c r="M51">
        <v>165.277530908584</v>
      </c>
      <c r="N51" s="2">
        <v>9.3402996249065392E-6</v>
      </c>
      <c r="O51" s="3">
        <v>46049.438918865744</v>
      </c>
      <c r="P51" s="3">
        <v>46049.440153680553</v>
      </c>
      <c r="Q51" s="1" t="s">
        <v>68</v>
      </c>
      <c r="R51" s="1" t="s">
        <v>73</v>
      </c>
      <c r="T51">
        <f t="shared" si="0"/>
        <v>-46.300817961319993</v>
      </c>
    </row>
    <row r="52" spans="1:20" x14ac:dyDescent="0.3">
      <c r="A52">
        <v>51</v>
      </c>
      <c r="B52">
        <v>2</v>
      </c>
      <c r="C52">
        <v>1769510029.27753</v>
      </c>
      <c r="D52">
        <v>1769510135.9330299</v>
      </c>
      <c r="E52">
        <v>106.655508495636</v>
      </c>
      <c r="F52">
        <v>1769509848</v>
      </c>
      <c r="G52">
        <v>1769509905</v>
      </c>
      <c r="H52">
        <v>57.744</v>
      </c>
      <c r="I52">
        <v>48.911508495636397</v>
      </c>
      <c r="J52">
        <v>48.911508495636397</v>
      </c>
      <c r="K52">
        <v>59.503229593821601</v>
      </c>
      <c r="L52">
        <v>230.93303942680299</v>
      </c>
      <c r="M52">
        <v>230.93303942680299</v>
      </c>
      <c r="N52" s="2">
        <v>1.30506771228071E-5</v>
      </c>
      <c r="O52" s="3">
        <v>46049.440153680553</v>
      </c>
      <c r="P52" s="3">
        <v>46049.441388113424</v>
      </c>
      <c r="Q52" s="1" t="s">
        <v>69</v>
      </c>
      <c r="R52" s="1" t="s">
        <v>74</v>
      </c>
      <c r="T52">
        <f t="shared" si="0"/>
        <v>-48.911508495635999</v>
      </c>
    </row>
    <row r="53" spans="1:20" x14ac:dyDescent="0.3">
      <c r="A53">
        <v>52</v>
      </c>
      <c r="B53">
        <v>5</v>
      </c>
      <c r="C53">
        <v>1769510029.30072</v>
      </c>
      <c r="D53">
        <v>1769510135.94225</v>
      </c>
      <c r="E53">
        <v>106.64153650428899</v>
      </c>
      <c r="F53">
        <v>1769509850</v>
      </c>
      <c r="G53">
        <v>1769509908</v>
      </c>
      <c r="H53">
        <v>57.622</v>
      </c>
      <c r="I53">
        <v>49.019536504289803</v>
      </c>
      <c r="J53">
        <v>49.019536504289803</v>
      </c>
      <c r="K53">
        <v>59.684014538442199</v>
      </c>
      <c r="L53">
        <v>227.94225740432699</v>
      </c>
      <c r="M53">
        <v>227.94225740432699</v>
      </c>
      <c r="N53" s="2">
        <v>1.2881659587913101E-5</v>
      </c>
      <c r="O53" s="3">
        <v>46049.440153946758</v>
      </c>
      <c r="P53" s="3">
        <v>46049.441388217594</v>
      </c>
      <c r="Q53" s="1" t="s">
        <v>70</v>
      </c>
      <c r="R53" s="1" t="s">
        <v>75</v>
      </c>
      <c r="T53">
        <f t="shared" si="0"/>
        <v>-49.019536504288993</v>
      </c>
    </row>
    <row r="54" spans="1:20" x14ac:dyDescent="0.3">
      <c r="A54">
        <v>53</v>
      </c>
      <c r="B54">
        <v>1</v>
      </c>
      <c r="C54">
        <v>1769510029.3044</v>
      </c>
      <c r="D54">
        <v>1769510135.90817</v>
      </c>
      <c r="E54">
        <v>106.60377204065099</v>
      </c>
      <c r="F54">
        <v>1769509853</v>
      </c>
      <c r="G54">
        <v>1769509915</v>
      </c>
      <c r="H54">
        <v>61.448999999999998</v>
      </c>
      <c r="I54">
        <v>45.154772040651601</v>
      </c>
      <c r="J54">
        <v>45.154772040651601</v>
      </c>
      <c r="K54">
        <v>53.7388006069055</v>
      </c>
      <c r="L54">
        <v>220.908177375793</v>
      </c>
      <c r="M54">
        <v>220.908177375793</v>
      </c>
      <c r="N54" s="2">
        <v>1.24841438702278E-5</v>
      </c>
      <c r="O54" s="3">
        <v>46049.440153981479</v>
      </c>
      <c r="P54" s="3">
        <v>46049.441387824074</v>
      </c>
      <c r="Q54" s="1" t="s">
        <v>72</v>
      </c>
      <c r="R54" s="1" t="s">
        <v>76</v>
      </c>
      <c r="T54">
        <f t="shared" si="0"/>
        <v>-45.154772040650997</v>
      </c>
    </row>
    <row r="55" spans="1:20" x14ac:dyDescent="0.3">
      <c r="A55">
        <v>54</v>
      </c>
      <c r="B55">
        <v>4</v>
      </c>
      <c r="C55">
        <v>1769510029.3071201</v>
      </c>
      <c r="D55">
        <v>1769510135.8971701</v>
      </c>
      <c r="E55">
        <v>106.59005404770301</v>
      </c>
      <c r="F55">
        <v>1769509854</v>
      </c>
      <c r="G55">
        <v>1769509914</v>
      </c>
      <c r="H55">
        <v>59.396000000000001</v>
      </c>
      <c r="I55">
        <v>47.194054047703901</v>
      </c>
      <c r="J55">
        <v>47.194054047703901</v>
      </c>
      <c r="K55">
        <v>56.865083417358001</v>
      </c>
      <c r="L55">
        <v>221.89717626571601</v>
      </c>
      <c r="M55">
        <v>221.89717626571601</v>
      </c>
      <c r="N55" s="2">
        <v>1.2540034989186501E-5</v>
      </c>
      <c r="O55" s="3">
        <v>46049.440154016207</v>
      </c>
      <c r="P55" s="3">
        <v>46049.441387696759</v>
      </c>
      <c r="Q55" s="1" t="s">
        <v>71</v>
      </c>
      <c r="R55" s="1" t="s">
        <v>77</v>
      </c>
      <c r="T55">
        <f t="shared" si="0"/>
        <v>-47.194054047703005</v>
      </c>
    </row>
    <row r="56" spans="1:20" x14ac:dyDescent="0.3">
      <c r="A56">
        <v>55</v>
      </c>
      <c r="B56">
        <v>3</v>
      </c>
      <c r="C56">
        <v>1769510029.3192699</v>
      </c>
      <c r="D56">
        <v>1769510135.89061</v>
      </c>
      <c r="E56">
        <v>106.57134112721199</v>
      </c>
      <c r="F56">
        <v>1769509863</v>
      </c>
      <c r="G56">
        <v>1769509925</v>
      </c>
      <c r="H56">
        <v>61.755000000000003</v>
      </c>
      <c r="I56">
        <v>44.816341127212901</v>
      </c>
      <c r="J56">
        <v>44.816341127212901</v>
      </c>
      <c r="K56">
        <v>53.249349836865903</v>
      </c>
      <c r="L56">
        <v>210.89061880111601</v>
      </c>
      <c r="M56">
        <v>210.89061880111601</v>
      </c>
      <c r="N56" s="2">
        <v>1.1918023360853399E-5</v>
      </c>
      <c r="O56" s="3">
        <v>46049.440154155091</v>
      </c>
      <c r="P56" s="3">
        <v>46049.441387627317</v>
      </c>
      <c r="Q56" s="1" t="s">
        <v>78</v>
      </c>
      <c r="R56" s="1" t="s">
        <v>79</v>
      </c>
      <c r="T56">
        <f t="shared" si="0"/>
        <v>-44.816341127211992</v>
      </c>
    </row>
    <row r="57" spans="1:20" x14ac:dyDescent="0.3">
      <c r="A57">
        <v>56</v>
      </c>
      <c r="B57">
        <v>3</v>
      </c>
      <c r="C57">
        <v>1769510135.89061</v>
      </c>
      <c r="D57">
        <v>1769510242.4409299</v>
      </c>
      <c r="E57">
        <v>106.550313896307</v>
      </c>
      <c r="F57">
        <v>1769509905</v>
      </c>
      <c r="G57">
        <v>1769509961</v>
      </c>
      <c r="H57">
        <v>55.634999999999998</v>
      </c>
      <c r="I57">
        <v>50.915313896307701</v>
      </c>
      <c r="J57">
        <v>50.915313896307701</v>
      </c>
      <c r="K57">
        <v>62.786589825093699</v>
      </c>
      <c r="L57">
        <v>281.44093275070099</v>
      </c>
      <c r="M57">
        <v>281.44093275070099</v>
      </c>
      <c r="N57" s="2">
        <v>1.5905019840071E-5</v>
      </c>
      <c r="O57" s="3">
        <v>46049.441387627317</v>
      </c>
      <c r="P57" s="3">
        <v>46049.442620844908</v>
      </c>
      <c r="Q57" s="1" t="s">
        <v>74</v>
      </c>
      <c r="R57" s="1" t="s">
        <v>80</v>
      </c>
      <c r="T57">
        <f t="shared" si="0"/>
        <v>-50.915313896307005</v>
      </c>
    </row>
    <row r="58" spans="1:20" x14ac:dyDescent="0.3">
      <c r="A58">
        <v>57</v>
      </c>
      <c r="B58">
        <v>4</v>
      </c>
      <c r="C58">
        <v>1769510135.8971701</v>
      </c>
      <c r="D58">
        <v>1769510242.41395</v>
      </c>
      <c r="E58">
        <v>106.51677741174601</v>
      </c>
      <c r="F58">
        <v>1769509908</v>
      </c>
      <c r="G58">
        <v>1769509964</v>
      </c>
      <c r="H58">
        <v>56.682000000000002</v>
      </c>
      <c r="I58">
        <v>49.834777411746103</v>
      </c>
      <c r="J58">
        <v>49.834777411746103</v>
      </c>
      <c r="K58">
        <v>61.072488657208901</v>
      </c>
      <c r="L58">
        <v>278.41395378112702</v>
      </c>
      <c r="M58">
        <v>278.41395378112702</v>
      </c>
      <c r="N58" s="2">
        <v>1.57339567192379E-5</v>
      </c>
      <c r="O58" s="3">
        <v>46049.441387696759</v>
      </c>
      <c r="P58" s="3">
        <v>46049.442620532405</v>
      </c>
      <c r="Q58" s="1" t="s">
        <v>75</v>
      </c>
      <c r="R58" s="1" t="s">
        <v>81</v>
      </c>
      <c r="T58">
        <f t="shared" si="0"/>
        <v>-49.834777411746003</v>
      </c>
    </row>
    <row r="59" spans="1:20" x14ac:dyDescent="0.3">
      <c r="A59">
        <v>58</v>
      </c>
      <c r="B59">
        <v>1</v>
      </c>
      <c r="C59">
        <v>1769510135.90817</v>
      </c>
      <c r="D59">
        <v>1769510242.40677</v>
      </c>
      <c r="E59">
        <v>106.498594215431</v>
      </c>
      <c r="F59">
        <v>1769509914</v>
      </c>
      <c r="G59">
        <v>1769509971</v>
      </c>
      <c r="H59">
        <v>57.895000000000003</v>
      </c>
      <c r="I59">
        <v>48.603594215431698</v>
      </c>
      <c r="J59">
        <v>48.603594215431698</v>
      </c>
      <c r="K59">
        <v>59.1307641242255</v>
      </c>
      <c r="L59">
        <v>271.40677165985102</v>
      </c>
      <c r="M59">
        <v>271.40677165985102</v>
      </c>
      <c r="N59" s="2">
        <v>1.5337961090568901E-5</v>
      </c>
      <c r="O59" s="3">
        <v>46049.441387824074</v>
      </c>
      <c r="P59" s="3">
        <v>46049.442620451387</v>
      </c>
      <c r="Q59" s="1" t="s">
        <v>77</v>
      </c>
      <c r="R59" s="1" t="s">
        <v>82</v>
      </c>
      <c r="T59">
        <f t="shared" si="0"/>
        <v>-48.603594215430995</v>
      </c>
    </row>
    <row r="60" spans="1:20" x14ac:dyDescent="0.3">
      <c r="A60">
        <v>59</v>
      </c>
      <c r="B60">
        <v>2</v>
      </c>
      <c r="C60">
        <v>1769510135.9330299</v>
      </c>
      <c r="D60">
        <v>1769510242.3961599</v>
      </c>
      <c r="E60">
        <v>106.463129957059</v>
      </c>
      <c r="F60">
        <v>1769509915</v>
      </c>
      <c r="G60">
        <v>1769509975</v>
      </c>
      <c r="H60">
        <v>60.31</v>
      </c>
      <c r="I60">
        <v>46.153129957059399</v>
      </c>
      <c r="J60">
        <v>46.153129957059399</v>
      </c>
      <c r="K60">
        <v>55.348400511452802</v>
      </c>
      <c r="L60">
        <v>267.39616942405701</v>
      </c>
      <c r="M60">
        <v>267.39616942405701</v>
      </c>
      <c r="N60" s="2">
        <v>1.51113106452267E-5</v>
      </c>
      <c r="O60" s="3">
        <v>46049.441388113424</v>
      </c>
      <c r="P60" s="3">
        <v>46049.442620324073</v>
      </c>
      <c r="Q60" s="1" t="s">
        <v>76</v>
      </c>
      <c r="R60" s="1" t="s">
        <v>83</v>
      </c>
      <c r="T60">
        <f t="shared" si="0"/>
        <v>-46.153129957058994</v>
      </c>
    </row>
    <row r="61" spans="1:20" x14ac:dyDescent="0.3">
      <c r="A61">
        <v>60</v>
      </c>
      <c r="B61">
        <v>5</v>
      </c>
      <c r="C61">
        <v>1769510135.94225</v>
      </c>
      <c r="D61">
        <v>1769510242.3989201</v>
      </c>
      <c r="E61">
        <v>106.45666649445999</v>
      </c>
      <c r="F61">
        <v>1769509925</v>
      </c>
      <c r="G61">
        <v>1769509989</v>
      </c>
      <c r="H61">
        <v>63.646000000000001</v>
      </c>
      <c r="I61">
        <v>42.8106664944603</v>
      </c>
      <c r="J61">
        <v>42.8106664944603</v>
      </c>
      <c r="K61">
        <v>50.335091596996797</v>
      </c>
      <c r="L61">
        <v>253.398923873901</v>
      </c>
      <c r="M61">
        <v>253.398923873901</v>
      </c>
      <c r="N61" s="2">
        <v>1.43202868198205E-5</v>
      </c>
      <c r="O61" s="3">
        <v>46049.441388217594</v>
      </c>
      <c r="P61" s="3">
        <v>46049.442620358794</v>
      </c>
      <c r="Q61" s="1" t="s">
        <v>79</v>
      </c>
      <c r="R61" s="1" t="s">
        <v>84</v>
      </c>
      <c r="T61">
        <f t="shared" si="0"/>
        <v>-42.810666494459994</v>
      </c>
    </row>
    <row r="62" spans="1:20" x14ac:dyDescent="0.3">
      <c r="A62">
        <v>61</v>
      </c>
      <c r="B62">
        <v>2</v>
      </c>
      <c r="C62">
        <v>1769510242.3961599</v>
      </c>
      <c r="D62">
        <v>1769510348.82023</v>
      </c>
      <c r="E62">
        <v>106.42406236571701</v>
      </c>
      <c r="F62">
        <v>1769509961</v>
      </c>
      <c r="G62">
        <v>1769510020</v>
      </c>
      <c r="H62">
        <v>59.216000000000001</v>
      </c>
      <c r="I62">
        <v>47.208062365717304</v>
      </c>
      <c r="J62">
        <v>47.208062365717304</v>
      </c>
      <c r="K62">
        <v>57.000778303845898</v>
      </c>
      <c r="L62">
        <v>328.820231676101</v>
      </c>
      <c r="M62">
        <v>328.820231676101</v>
      </c>
      <c r="N62" s="2">
        <v>1.85825566065174E-5</v>
      </c>
      <c r="O62" s="3">
        <v>46049.442620324073</v>
      </c>
      <c r="P62" s="3">
        <v>46049.443852083336</v>
      </c>
      <c r="Q62" s="1" t="s">
        <v>80</v>
      </c>
      <c r="R62" s="1" t="s">
        <v>85</v>
      </c>
      <c r="T62">
        <f t="shared" si="0"/>
        <v>-47.208062365717005</v>
      </c>
    </row>
    <row r="63" spans="1:20" x14ac:dyDescent="0.3">
      <c r="A63">
        <v>62</v>
      </c>
      <c r="B63">
        <v>5</v>
      </c>
      <c r="C63">
        <v>1769510242.3989201</v>
      </c>
      <c r="D63">
        <v>1769510348.79425</v>
      </c>
      <c r="E63">
        <v>106.39533078612</v>
      </c>
      <c r="F63">
        <v>1769509964</v>
      </c>
      <c r="G63">
        <v>1769510021</v>
      </c>
      <c r="H63">
        <v>57.463000000000001</v>
      </c>
      <c r="I63">
        <v>48.932330786120801</v>
      </c>
      <c r="J63">
        <v>48.932330786120801</v>
      </c>
      <c r="K63">
        <v>59.725166918721598</v>
      </c>
      <c r="L63">
        <v>327.79425454139698</v>
      </c>
      <c r="M63">
        <v>327.79425454139698</v>
      </c>
      <c r="N63" s="2">
        <v>1.8524575746392399E-5</v>
      </c>
      <c r="O63" s="3">
        <v>46049.442620358794</v>
      </c>
      <c r="P63" s="3">
        <v>46049.443851782409</v>
      </c>
      <c r="Q63" s="1" t="s">
        <v>81</v>
      </c>
      <c r="R63" s="1" t="s">
        <v>86</v>
      </c>
      <c r="T63">
        <f t="shared" si="0"/>
        <v>-48.932330786119998</v>
      </c>
    </row>
    <row r="64" spans="1:20" x14ac:dyDescent="0.3">
      <c r="A64">
        <v>63</v>
      </c>
      <c r="B64">
        <v>1</v>
      </c>
      <c r="C64">
        <v>1769510242.40677</v>
      </c>
      <c r="D64">
        <v>1769510348.7832999</v>
      </c>
      <c r="E64">
        <v>106.37652890915901</v>
      </c>
      <c r="F64">
        <v>1769509971</v>
      </c>
      <c r="G64">
        <v>1769510028</v>
      </c>
      <c r="H64">
        <v>56.27</v>
      </c>
      <c r="I64">
        <v>50.106528909159501</v>
      </c>
      <c r="J64">
        <v>50.106528909159501</v>
      </c>
      <c r="K64">
        <v>61.614015675852201</v>
      </c>
      <c r="L64">
        <v>320.783300638198</v>
      </c>
      <c r="M64">
        <v>320.783300638198</v>
      </c>
      <c r="N64" s="2">
        <v>1.81283669765002E-5</v>
      </c>
      <c r="O64" s="3">
        <v>46049.442620451387</v>
      </c>
      <c r="P64" s="3">
        <v>46049.443851655094</v>
      </c>
      <c r="Q64" s="1" t="s">
        <v>82</v>
      </c>
      <c r="R64" s="1" t="s">
        <v>87</v>
      </c>
      <c r="T64">
        <f t="shared" si="0"/>
        <v>-50.106528909159003</v>
      </c>
    </row>
    <row r="65" spans="1:20" x14ac:dyDescent="0.3">
      <c r="A65">
        <v>64</v>
      </c>
      <c r="B65">
        <v>4</v>
      </c>
      <c r="C65">
        <v>1769510242.41395</v>
      </c>
      <c r="D65">
        <v>1769510348.7669799</v>
      </c>
      <c r="E65">
        <v>106.353030687961</v>
      </c>
      <c r="F65">
        <v>1769509975</v>
      </c>
      <c r="G65">
        <v>1769510031</v>
      </c>
      <c r="H65">
        <v>55.923000000000002</v>
      </c>
      <c r="I65">
        <v>50.430030687961803</v>
      </c>
      <c r="J65">
        <v>50.430030687961803</v>
      </c>
      <c r="K65">
        <v>62.153394403555502</v>
      </c>
      <c r="L65">
        <v>317.76698446273798</v>
      </c>
      <c r="M65">
        <v>317.76698446273798</v>
      </c>
      <c r="N65" s="2">
        <v>1.7957906446622902E-5</v>
      </c>
      <c r="O65" s="3">
        <v>46049.442620532405</v>
      </c>
      <c r="P65" s="3">
        <v>46049.443851469907</v>
      </c>
      <c r="Q65" s="1" t="s">
        <v>83</v>
      </c>
      <c r="R65" s="1" t="s">
        <v>88</v>
      </c>
      <c r="T65">
        <f t="shared" si="0"/>
        <v>-50.430030687960993</v>
      </c>
    </row>
    <row r="66" spans="1:20" x14ac:dyDescent="0.3">
      <c r="A66">
        <v>65</v>
      </c>
      <c r="B66">
        <v>3</v>
      </c>
      <c r="C66">
        <v>1769510242.4409299</v>
      </c>
      <c r="D66">
        <v>1769510348.76229</v>
      </c>
      <c r="E66">
        <v>106.32136706407</v>
      </c>
      <c r="F66">
        <v>1769509989</v>
      </c>
      <c r="G66">
        <v>1769510049</v>
      </c>
      <c r="H66">
        <v>60.482999999999997</v>
      </c>
      <c r="I66">
        <v>45.838367064070397</v>
      </c>
      <c r="J66">
        <v>45.838367064070397</v>
      </c>
      <c r="K66">
        <v>54.960631871782702</v>
      </c>
      <c r="L66">
        <v>299.76229977607699</v>
      </c>
      <c r="M66">
        <v>299.76229977607699</v>
      </c>
      <c r="N66" s="2">
        <v>1.6940410966018402E-5</v>
      </c>
      <c r="O66" s="3">
        <v>46049.442620844908</v>
      </c>
      <c r="P66" s="3">
        <v>46049.443851412034</v>
      </c>
      <c r="Q66" s="1" t="s">
        <v>84</v>
      </c>
      <c r="R66" s="1" t="s">
        <v>89</v>
      </c>
      <c r="T66">
        <f t="shared" si="0"/>
        <v>-45.838367064070006</v>
      </c>
    </row>
    <row r="67" spans="1:20" x14ac:dyDescent="0.3">
      <c r="A67">
        <v>66</v>
      </c>
      <c r="B67">
        <v>3</v>
      </c>
      <c r="C67">
        <v>1769510348.76229</v>
      </c>
      <c r="D67">
        <v>1769510455.0689099</v>
      </c>
      <c r="E67">
        <v>106.30661995775201</v>
      </c>
      <c r="F67">
        <v>1769510020</v>
      </c>
      <c r="G67">
        <v>1769510078</v>
      </c>
      <c r="H67">
        <v>57.442</v>
      </c>
      <c r="I67">
        <v>48.864619957752502</v>
      </c>
      <c r="J67">
        <v>48.864619957752502</v>
      </c>
      <c r="K67">
        <v>59.6824815627267</v>
      </c>
      <c r="L67">
        <v>377.06891965865998</v>
      </c>
      <c r="M67">
        <v>377.06891965865998</v>
      </c>
      <c r="N67" s="2">
        <v>2.1309224749350599E-5</v>
      </c>
      <c r="O67" s="3">
        <v>46049.443851412034</v>
      </c>
      <c r="P67" s="3">
        <v>46049.445081817132</v>
      </c>
      <c r="Q67" s="1" t="s">
        <v>85</v>
      </c>
      <c r="R67" s="1" t="s">
        <v>90</v>
      </c>
      <c r="T67">
        <f t="shared" ref="T67:T98" si="1">H67-E67</f>
        <v>-48.864619957752005</v>
      </c>
    </row>
    <row r="68" spans="1:20" x14ac:dyDescent="0.3">
      <c r="A68">
        <v>67</v>
      </c>
      <c r="B68">
        <v>4</v>
      </c>
      <c r="C68">
        <v>1769510348.7669799</v>
      </c>
      <c r="D68">
        <v>1769510455.0407901</v>
      </c>
      <c r="E68">
        <v>106.273805946796</v>
      </c>
      <c r="F68">
        <v>1769510021</v>
      </c>
      <c r="G68">
        <v>1769510080</v>
      </c>
      <c r="H68">
        <v>58.512999999999998</v>
      </c>
      <c r="I68">
        <v>47.760805946796097</v>
      </c>
      <c r="J68">
        <v>47.760805946796097</v>
      </c>
      <c r="K68">
        <v>57.966784018153</v>
      </c>
      <c r="L68">
        <v>375.04079031944201</v>
      </c>
      <c r="M68">
        <v>375.04079031944201</v>
      </c>
      <c r="N68" s="2">
        <v>2.1194609446656899E-5</v>
      </c>
      <c r="O68" s="3">
        <v>46049.443851469907</v>
      </c>
      <c r="P68" s="3">
        <v>46049.445081493053</v>
      </c>
      <c r="Q68" s="1" t="s">
        <v>86</v>
      </c>
      <c r="R68" s="1" t="s">
        <v>91</v>
      </c>
      <c r="T68">
        <f t="shared" si="1"/>
        <v>-47.760805946796005</v>
      </c>
    </row>
    <row r="69" spans="1:20" x14ac:dyDescent="0.3">
      <c r="A69">
        <v>68</v>
      </c>
      <c r="B69">
        <v>1</v>
      </c>
      <c r="C69">
        <v>1769510348.7832999</v>
      </c>
      <c r="D69">
        <v>1769510455.03461</v>
      </c>
      <c r="E69">
        <v>106.251317122609</v>
      </c>
      <c r="F69">
        <v>1769510028</v>
      </c>
      <c r="G69">
        <v>1769510083</v>
      </c>
      <c r="H69">
        <v>55.695</v>
      </c>
      <c r="I69">
        <v>50.5563171226094</v>
      </c>
      <c r="J69">
        <v>50.5563171226094</v>
      </c>
      <c r="K69">
        <v>62.435896068365999</v>
      </c>
      <c r="L69">
        <v>372.03461766242901</v>
      </c>
      <c r="M69">
        <v>372.03461766242901</v>
      </c>
      <c r="N69" s="2">
        <v>2.1024722160501301E-5</v>
      </c>
      <c r="O69" s="3">
        <v>46049.443851655094</v>
      </c>
      <c r="P69" s="3">
        <v>46049.445081423612</v>
      </c>
      <c r="Q69" s="1" t="s">
        <v>87</v>
      </c>
      <c r="R69" s="1" t="s">
        <v>92</v>
      </c>
      <c r="T69">
        <f t="shared" si="1"/>
        <v>-50.556317122608995</v>
      </c>
    </row>
    <row r="70" spans="1:20" x14ac:dyDescent="0.3">
      <c r="A70">
        <v>69</v>
      </c>
      <c r="B70">
        <v>5</v>
      </c>
      <c r="C70">
        <v>1769510348.79425</v>
      </c>
      <c r="D70">
        <v>1769510455.02654</v>
      </c>
      <c r="E70">
        <v>106.232287823333</v>
      </c>
      <c r="F70">
        <v>1769510031</v>
      </c>
      <c r="G70">
        <v>1769510087</v>
      </c>
      <c r="H70">
        <v>56.271000000000001</v>
      </c>
      <c r="I70">
        <v>49.961287823333898</v>
      </c>
      <c r="J70">
        <v>49.961287823333898</v>
      </c>
      <c r="K70">
        <v>61.489571678881397</v>
      </c>
      <c r="L70">
        <v>368.02654242515501</v>
      </c>
      <c r="M70">
        <v>368.02654242515501</v>
      </c>
      <c r="N70" s="2">
        <v>2.0798214537314502E-5</v>
      </c>
      <c r="O70" s="3">
        <v>46049.443851782409</v>
      </c>
      <c r="P70" s="3">
        <v>46049.445081331018</v>
      </c>
      <c r="Q70" s="1" t="s">
        <v>88</v>
      </c>
      <c r="R70" s="1" t="s">
        <v>93</v>
      </c>
      <c r="T70">
        <f t="shared" si="1"/>
        <v>-49.961287823332995</v>
      </c>
    </row>
    <row r="71" spans="1:20" x14ac:dyDescent="0.3">
      <c r="A71">
        <v>70</v>
      </c>
      <c r="B71">
        <v>2</v>
      </c>
      <c r="C71">
        <v>1769510348.82023</v>
      </c>
      <c r="D71">
        <v>1769510455.0290201</v>
      </c>
      <c r="E71">
        <v>106.20879593628899</v>
      </c>
      <c r="F71">
        <v>1769510049</v>
      </c>
      <c r="G71">
        <v>1769510110</v>
      </c>
      <c r="H71">
        <v>60.640999999999998</v>
      </c>
      <c r="I71">
        <v>45.567795936289599</v>
      </c>
      <c r="J71">
        <v>45.567795936289599</v>
      </c>
      <c r="K71">
        <v>54.621338528564102</v>
      </c>
      <c r="L71">
        <v>345.02902770042402</v>
      </c>
      <c r="M71">
        <v>345.02902770042402</v>
      </c>
      <c r="N71" s="2">
        <v>1.9498560201081699E-5</v>
      </c>
      <c r="O71" s="3">
        <v>46049.443852083336</v>
      </c>
      <c r="P71" s="3">
        <v>46049.44508135417</v>
      </c>
      <c r="Q71" s="1" t="s">
        <v>89</v>
      </c>
      <c r="R71" s="1" t="s">
        <v>94</v>
      </c>
      <c r="T71">
        <f t="shared" si="1"/>
        <v>-45.567795936288995</v>
      </c>
    </row>
    <row r="72" spans="1:20" x14ac:dyDescent="0.3">
      <c r="A72">
        <v>71</v>
      </c>
      <c r="B72">
        <v>5</v>
      </c>
      <c r="C72">
        <v>1769510455.02654</v>
      </c>
      <c r="D72">
        <v>1769510561.20855</v>
      </c>
      <c r="E72">
        <v>106.18200926348599</v>
      </c>
      <c r="F72">
        <v>1769510078</v>
      </c>
      <c r="G72">
        <v>1769510134</v>
      </c>
      <c r="H72">
        <v>56.649000000000001</v>
      </c>
      <c r="I72">
        <v>49.533009263486399</v>
      </c>
      <c r="J72">
        <v>49.533009263486399</v>
      </c>
      <c r="K72">
        <v>60.839774300402603</v>
      </c>
      <c r="L72">
        <v>427.20855164527802</v>
      </c>
      <c r="M72">
        <v>427.20855164527802</v>
      </c>
      <c r="N72" s="2">
        <v>2.41427552104271E-5</v>
      </c>
      <c r="O72" s="3">
        <v>46049.445081331018</v>
      </c>
      <c r="P72" s="3">
        <v>46049.44631028935</v>
      </c>
      <c r="Q72" s="1" t="s">
        <v>90</v>
      </c>
      <c r="R72" s="1" t="s">
        <v>95</v>
      </c>
      <c r="T72">
        <f t="shared" si="1"/>
        <v>-49.533009263485994</v>
      </c>
    </row>
    <row r="73" spans="1:20" x14ac:dyDescent="0.3">
      <c r="A73">
        <v>72</v>
      </c>
      <c r="B73">
        <v>2</v>
      </c>
      <c r="C73">
        <v>1769510455.0290201</v>
      </c>
      <c r="D73">
        <v>1769510561.1900499</v>
      </c>
      <c r="E73">
        <v>106.161026611954</v>
      </c>
      <c r="F73">
        <v>1769510080</v>
      </c>
      <c r="G73">
        <v>1769510137</v>
      </c>
      <c r="H73">
        <v>57.972999999999999</v>
      </c>
      <c r="I73">
        <v>48.188026611954797</v>
      </c>
      <c r="J73">
        <v>48.188026611954797</v>
      </c>
      <c r="K73">
        <v>58.717899763564397</v>
      </c>
      <c r="L73">
        <v>424.19005441665598</v>
      </c>
      <c r="M73">
        <v>424.19005441665598</v>
      </c>
      <c r="N73" s="2">
        <v>2.3972171433390999E-5</v>
      </c>
      <c r="O73" s="3">
        <v>46049.44508135417</v>
      </c>
      <c r="P73" s="3">
        <v>46049.446310069441</v>
      </c>
      <c r="Q73" s="1" t="s">
        <v>91</v>
      </c>
      <c r="R73" s="1" t="s">
        <v>96</v>
      </c>
      <c r="T73">
        <f t="shared" si="1"/>
        <v>-48.188026611954001</v>
      </c>
    </row>
    <row r="74" spans="1:20" x14ac:dyDescent="0.3">
      <c r="A74">
        <v>73</v>
      </c>
      <c r="B74">
        <v>1</v>
      </c>
      <c r="C74">
        <v>1769510455.03461</v>
      </c>
      <c r="D74">
        <v>1769510561.1580801</v>
      </c>
      <c r="E74">
        <v>106.12346719312799</v>
      </c>
      <c r="F74">
        <v>1769510083</v>
      </c>
      <c r="G74">
        <v>1769510144</v>
      </c>
      <c r="H74">
        <v>60.728000000000002</v>
      </c>
      <c r="I74">
        <v>45.395467193128297</v>
      </c>
      <c r="J74">
        <v>45.395467193128297</v>
      </c>
      <c r="K74">
        <v>54.414225966120704</v>
      </c>
      <c r="L74">
        <v>417.15808486938403</v>
      </c>
      <c r="M74">
        <v>417.15808486938403</v>
      </c>
      <c r="N74" s="2">
        <v>2.3574775036573299E-5</v>
      </c>
      <c r="O74" s="3">
        <v>46049.445081423612</v>
      </c>
      <c r="P74" s="3">
        <v>46049.446309699073</v>
      </c>
      <c r="Q74" s="1" t="s">
        <v>92</v>
      </c>
      <c r="R74" s="1" t="s">
        <v>97</v>
      </c>
      <c r="T74">
        <f t="shared" si="1"/>
        <v>-45.395467193127992</v>
      </c>
    </row>
    <row r="75" spans="1:20" x14ac:dyDescent="0.3">
      <c r="A75">
        <v>74</v>
      </c>
      <c r="B75">
        <v>4</v>
      </c>
      <c r="C75">
        <v>1769510455.0407901</v>
      </c>
      <c r="D75">
        <v>1769510561.14535</v>
      </c>
      <c r="E75">
        <v>106.10456046951199</v>
      </c>
      <c r="F75">
        <v>1769510087</v>
      </c>
      <c r="G75">
        <v>1769510145</v>
      </c>
      <c r="H75">
        <v>58.234000000000002</v>
      </c>
      <c r="I75">
        <v>47.870560469512398</v>
      </c>
      <c r="J75">
        <v>47.870560469512398</v>
      </c>
      <c r="K75">
        <v>58.258463908588503</v>
      </c>
      <c r="L75">
        <v>416.14535069465597</v>
      </c>
      <c r="M75">
        <v>416.14535069465597</v>
      </c>
      <c r="N75" s="2">
        <v>2.35175425773598E-5</v>
      </c>
      <c r="O75" s="3">
        <v>46049.445081493053</v>
      </c>
      <c r="P75" s="3">
        <v>46049.446309548613</v>
      </c>
      <c r="Q75" s="1" t="s">
        <v>93</v>
      </c>
      <c r="R75" s="1" t="s">
        <v>98</v>
      </c>
      <c r="T75">
        <f t="shared" si="1"/>
        <v>-47.870560469511993</v>
      </c>
    </row>
    <row r="76" spans="1:20" x14ac:dyDescent="0.3">
      <c r="A76">
        <v>75</v>
      </c>
      <c r="B76">
        <v>3</v>
      </c>
      <c r="C76">
        <v>1769510455.0689099</v>
      </c>
      <c r="D76">
        <v>1769510561.1444499</v>
      </c>
      <c r="E76">
        <v>106.075532541789</v>
      </c>
      <c r="F76">
        <v>1769510110</v>
      </c>
      <c r="G76">
        <v>1769510174</v>
      </c>
      <c r="H76">
        <v>63.765999999999998</v>
      </c>
      <c r="I76">
        <v>42.309532541789501</v>
      </c>
      <c r="J76">
        <v>42.309532541789501</v>
      </c>
      <c r="K76">
        <v>49.822363127086398</v>
      </c>
      <c r="L76">
        <v>387.144452095031</v>
      </c>
      <c r="M76">
        <v>387.144452095031</v>
      </c>
      <c r="N76" s="2">
        <v>2.1878620164638799E-5</v>
      </c>
      <c r="O76" s="3">
        <v>46049.445081817132</v>
      </c>
      <c r="P76" s="3">
        <v>46049.446309537037</v>
      </c>
      <c r="Q76" s="1" t="s">
        <v>94</v>
      </c>
      <c r="R76" s="1" t="s">
        <v>99</v>
      </c>
      <c r="T76">
        <f t="shared" si="1"/>
        <v>-42.309532541789004</v>
      </c>
    </row>
    <row r="77" spans="1:20" x14ac:dyDescent="0.3">
      <c r="A77">
        <v>76</v>
      </c>
      <c r="B77">
        <v>3</v>
      </c>
      <c r="C77">
        <v>1769510561.1444499</v>
      </c>
      <c r="D77">
        <v>1769510667.2139399</v>
      </c>
      <c r="E77">
        <v>106.06948958618401</v>
      </c>
      <c r="F77">
        <v>1769510134</v>
      </c>
      <c r="G77">
        <v>1769510191</v>
      </c>
      <c r="H77">
        <v>57.341999999999999</v>
      </c>
      <c r="I77">
        <v>48.727489586184703</v>
      </c>
      <c r="J77">
        <v>48.727489586184703</v>
      </c>
      <c r="K77">
        <v>59.637776645424097</v>
      </c>
      <c r="L77">
        <v>476.213941574096</v>
      </c>
      <c r="M77">
        <v>476.213941574096</v>
      </c>
      <c r="N77" s="2">
        <v>2.6912186203639902E-5</v>
      </c>
      <c r="O77" s="3">
        <v>46049.446309537037</v>
      </c>
      <c r="P77" s="3">
        <v>46049.447537199077</v>
      </c>
      <c r="Q77" s="1" t="s">
        <v>95</v>
      </c>
      <c r="R77" s="1" t="s">
        <v>100</v>
      </c>
      <c r="T77">
        <f t="shared" si="1"/>
        <v>-48.727489586184006</v>
      </c>
    </row>
    <row r="78" spans="1:20" x14ac:dyDescent="0.3">
      <c r="A78">
        <v>77</v>
      </c>
      <c r="B78">
        <v>4</v>
      </c>
      <c r="C78">
        <v>1769510561.14535</v>
      </c>
      <c r="D78">
        <v>1769510667.1893499</v>
      </c>
      <c r="E78">
        <v>106.044005561623</v>
      </c>
      <c r="F78">
        <v>1769510137</v>
      </c>
      <c r="G78">
        <v>1769510196</v>
      </c>
      <c r="H78">
        <v>58.143000000000001</v>
      </c>
      <c r="I78">
        <v>47.901005561622902</v>
      </c>
      <c r="J78">
        <v>47.901005561622902</v>
      </c>
      <c r="K78">
        <v>58.349325999059801</v>
      </c>
      <c r="L78">
        <v>471.18935632705598</v>
      </c>
      <c r="M78">
        <v>471.18935632705598</v>
      </c>
      <c r="N78" s="2">
        <v>2.6628232753757799E-5</v>
      </c>
      <c r="O78" s="3">
        <v>46049.446309548613</v>
      </c>
      <c r="P78" s="3">
        <v>46049.44753690972</v>
      </c>
      <c r="Q78" s="1" t="s">
        <v>96</v>
      </c>
      <c r="R78" s="1" t="s">
        <v>101</v>
      </c>
      <c r="T78">
        <f t="shared" si="1"/>
        <v>-47.901005561622995</v>
      </c>
    </row>
    <row r="79" spans="1:20" x14ac:dyDescent="0.3">
      <c r="A79">
        <v>78</v>
      </c>
      <c r="B79">
        <v>1</v>
      </c>
      <c r="C79">
        <v>1769510561.1580801</v>
      </c>
      <c r="D79">
        <v>1769510667.1568501</v>
      </c>
      <c r="E79">
        <v>105.998765637723</v>
      </c>
      <c r="F79">
        <v>1769510144</v>
      </c>
      <c r="G79">
        <v>1769510205</v>
      </c>
      <c r="H79">
        <v>61.426000000000002</v>
      </c>
      <c r="I79">
        <v>44.572765637723599</v>
      </c>
      <c r="J79">
        <v>44.572765637723599</v>
      </c>
      <c r="K79">
        <v>53.245128303384803</v>
      </c>
      <c r="L79">
        <v>462.15685057640002</v>
      </c>
      <c r="M79">
        <v>462.15685057640002</v>
      </c>
      <c r="N79" s="2">
        <v>2.6117780441048298E-5</v>
      </c>
      <c r="O79" s="3">
        <v>46049.446309699073</v>
      </c>
      <c r="P79" s="3">
        <v>46049.447536539352</v>
      </c>
      <c r="Q79" s="1" t="s">
        <v>97</v>
      </c>
      <c r="R79" s="1" t="s">
        <v>102</v>
      </c>
      <c r="T79">
        <f t="shared" si="1"/>
        <v>-44.572765637722995</v>
      </c>
    </row>
    <row r="80" spans="1:20" x14ac:dyDescent="0.3">
      <c r="A80">
        <v>79</v>
      </c>
      <c r="B80">
        <v>2</v>
      </c>
      <c r="C80">
        <v>1769510561.1900499</v>
      </c>
      <c r="D80">
        <v>1769510667.19433</v>
      </c>
      <c r="E80">
        <v>106.004280258113</v>
      </c>
      <c r="F80">
        <v>1769510145</v>
      </c>
      <c r="G80">
        <v>1769510206</v>
      </c>
      <c r="H80">
        <v>60.689</v>
      </c>
      <c r="I80">
        <v>45.315280258112999</v>
      </c>
      <c r="J80">
        <v>45.315280258112999</v>
      </c>
      <c r="K80">
        <v>54.369654479107197</v>
      </c>
      <c r="L80">
        <v>461.19433474540699</v>
      </c>
      <c r="M80">
        <v>461.19433474540699</v>
      </c>
      <c r="N80" s="2">
        <v>2.60633859629729E-5</v>
      </c>
      <c r="O80" s="3">
        <v>46049.446310069441</v>
      </c>
      <c r="P80" s="3">
        <v>46049.447536967593</v>
      </c>
      <c r="Q80" s="1" t="s">
        <v>98</v>
      </c>
      <c r="R80" s="1" t="s">
        <v>103</v>
      </c>
      <c r="T80">
        <f t="shared" si="1"/>
        <v>-45.315280258112999</v>
      </c>
    </row>
    <row r="81" spans="1:20" x14ac:dyDescent="0.3">
      <c r="A81">
        <v>80</v>
      </c>
      <c r="B81">
        <v>5</v>
      </c>
      <c r="C81">
        <v>1769510561.20855</v>
      </c>
      <c r="D81">
        <v>1769510667.1805401</v>
      </c>
      <c r="E81">
        <v>105.971992037433</v>
      </c>
      <c r="F81">
        <v>1769510174</v>
      </c>
      <c r="G81">
        <v>1769510236</v>
      </c>
      <c r="H81">
        <v>62.069000000000003</v>
      </c>
      <c r="I81">
        <v>43.902992037433599</v>
      </c>
      <c r="J81">
        <v>43.902992037433599</v>
      </c>
      <c r="K81">
        <v>52.2527170366306</v>
      </c>
      <c r="L81">
        <v>431.18054366111699</v>
      </c>
      <c r="M81">
        <v>431.18054366111699</v>
      </c>
      <c r="N81" s="2">
        <v>2.4367222203949799E-5</v>
      </c>
      <c r="O81" s="3">
        <v>46049.44631028935</v>
      </c>
      <c r="P81" s="3">
        <v>46049.447536817126</v>
      </c>
      <c r="Q81" s="1" t="s">
        <v>99</v>
      </c>
      <c r="R81" s="1" t="s">
        <v>104</v>
      </c>
      <c r="T81">
        <f t="shared" si="1"/>
        <v>-43.902992037432995</v>
      </c>
    </row>
    <row r="82" spans="1:20" x14ac:dyDescent="0.3">
      <c r="A82">
        <v>81</v>
      </c>
      <c r="B82">
        <v>1</v>
      </c>
      <c r="C82">
        <v>1769510667.1568501</v>
      </c>
      <c r="D82">
        <v>1769510773.11202</v>
      </c>
      <c r="E82">
        <v>105.955178914935</v>
      </c>
      <c r="F82">
        <v>1769510191</v>
      </c>
      <c r="G82">
        <v>1769510250</v>
      </c>
      <c r="H82">
        <v>59.054000000000002</v>
      </c>
      <c r="I82">
        <v>46.901178914935798</v>
      </c>
      <c r="J82">
        <v>46.901178914935798</v>
      </c>
      <c r="K82">
        <v>56.8467514635824</v>
      </c>
      <c r="L82">
        <v>523.11202955245903</v>
      </c>
      <c r="M82">
        <v>523.11202955245903</v>
      </c>
      <c r="N82" s="2">
        <v>2.9562527384619E-5</v>
      </c>
      <c r="O82" s="3">
        <v>46049.447536539352</v>
      </c>
      <c r="P82" s="3">
        <v>46049.448762870372</v>
      </c>
      <c r="Q82" s="1" t="s">
        <v>100</v>
      </c>
      <c r="R82" s="1" t="s">
        <v>105</v>
      </c>
      <c r="T82">
        <f t="shared" si="1"/>
        <v>-46.901178914935002</v>
      </c>
    </row>
    <row r="83" spans="1:20" x14ac:dyDescent="0.3">
      <c r="A83">
        <v>82</v>
      </c>
      <c r="B83">
        <v>5</v>
      </c>
      <c r="C83">
        <v>1769510667.1805401</v>
      </c>
      <c r="D83">
        <v>1769510773.11059</v>
      </c>
      <c r="E83">
        <v>105.930047724573</v>
      </c>
      <c r="F83">
        <v>1769510196</v>
      </c>
      <c r="G83">
        <v>1769510253</v>
      </c>
      <c r="H83">
        <v>57.878999999999998</v>
      </c>
      <c r="I83">
        <v>48.0510477245735</v>
      </c>
      <c r="J83">
        <v>48.0510477245735</v>
      </c>
      <c r="K83">
        <v>58.667147379265501</v>
      </c>
      <c r="L83">
        <v>520.11059141159001</v>
      </c>
      <c r="M83">
        <v>520.11059141159001</v>
      </c>
      <c r="N83" s="2">
        <v>2.93929076755554E-5</v>
      </c>
      <c r="O83" s="3">
        <v>46049.447536817126</v>
      </c>
      <c r="P83" s="3">
        <v>46049.448762858796</v>
      </c>
      <c r="Q83" s="1" t="s">
        <v>101</v>
      </c>
      <c r="R83" s="1" t="s">
        <v>106</v>
      </c>
      <c r="T83">
        <f t="shared" si="1"/>
        <v>-48.051047724573003</v>
      </c>
    </row>
    <row r="84" spans="1:20" x14ac:dyDescent="0.3">
      <c r="A84">
        <v>83</v>
      </c>
      <c r="B84">
        <v>4</v>
      </c>
      <c r="C84">
        <v>1769510667.1893499</v>
      </c>
      <c r="D84">
        <v>1769510773.0859699</v>
      </c>
      <c r="E84">
        <v>105.896620082715</v>
      </c>
      <c r="F84">
        <v>1769510205</v>
      </c>
      <c r="G84">
        <v>1769510266</v>
      </c>
      <c r="H84">
        <v>60.573</v>
      </c>
      <c r="I84">
        <v>45.3236200827156</v>
      </c>
      <c r="J84">
        <v>45.3236200827156</v>
      </c>
      <c r="K84">
        <v>54.452722436916901</v>
      </c>
      <c r="L84">
        <v>507.085976362228</v>
      </c>
      <c r="M84">
        <v>507.085976362228</v>
      </c>
      <c r="N84" s="2">
        <v>2.86568500589187E-5</v>
      </c>
      <c r="O84" s="3">
        <v>46049.44753690972</v>
      </c>
      <c r="P84" s="3">
        <v>46049.448762569446</v>
      </c>
      <c r="Q84" s="1" t="s">
        <v>102</v>
      </c>
      <c r="R84" s="1" t="s">
        <v>107</v>
      </c>
      <c r="T84">
        <f t="shared" si="1"/>
        <v>-45.323620082715003</v>
      </c>
    </row>
    <row r="85" spans="1:20" x14ac:dyDescent="0.3">
      <c r="A85">
        <v>84</v>
      </c>
      <c r="B85">
        <v>2</v>
      </c>
      <c r="C85">
        <v>1769510667.19433</v>
      </c>
      <c r="D85">
        <v>1769510773.0792</v>
      </c>
      <c r="E85">
        <v>105.884866806001</v>
      </c>
      <c r="F85">
        <v>1769510206</v>
      </c>
      <c r="G85">
        <v>1769510267</v>
      </c>
      <c r="H85">
        <v>60.661000000000001</v>
      </c>
      <c r="I85">
        <v>45.223866806001602</v>
      </c>
      <c r="J85">
        <v>45.223866806001602</v>
      </c>
      <c r="K85">
        <v>54.308002562056899</v>
      </c>
      <c r="L85">
        <v>506.07920145988402</v>
      </c>
      <c r="M85">
        <v>506.07920145988402</v>
      </c>
      <c r="N85" s="2">
        <v>2.8599954378827799E-5</v>
      </c>
      <c r="O85" s="3">
        <v>46049.447536967593</v>
      </c>
      <c r="P85" s="3">
        <v>46049.448762488428</v>
      </c>
      <c r="Q85" s="1" t="s">
        <v>103</v>
      </c>
      <c r="R85" s="1" t="s">
        <v>108</v>
      </c>
      <c r="T85">
        <f t="shared" si="1"/>
        <v>-45.223866806000999</v>
      </c>
    </row>
    <row r="86" spans="1:20" x14ac:dyDescent="0.3">
      <c r="A86">
        <v>85</v>
      </c>
      <c r="B86">
        <v>3</v>
      </c>
      <c r="C86">
        <v>1769510667.2139399</v>
      </c>
      <c r="D86">
        <v>1769510773.0743201</v>
      </c>
      <c r="E86">
        <v>105.86038670828999</v>
      </c>
      <c r="F86">
        <v>1769510236</v>
      </c>
      <c r="G86">
        <v>1769510301</v>
      </c>
      <c r="H86">
        <v>65.665999999999997</v>
      </c>
      <c r="I86">
        <v>40.194386708290502</v>
      </c>
      <c r="J86">
        <v>40.194386708290502</v>
      </c>
      <c r="K86">
        <v>46.8667095245792</v>
      </c>
      <c r="L86">
        <v>472.07432818412701</v>
      </c>
      <c r="M86">
        <v>472.07432818412701</v>
      </c>
      <c r="N86" s="2">
        <v>2.6678243407047401E-5</v>
      </c>
      <c r="O86" s="3">
        <v>46049.447537199077</v>
      </c>
      <c r="P86" s="3">
        <v>46049.448762430555</v>
      </c>
      <c r="Q86" s="1" t="s">
        <v>104</v>
      </c>
      <c r="R86" s="1" t="s">
        <v>109</v>
      </c>
      <c r="T86">
        <f t="shared" si="1"/>
        <v>-40.194386708289997</v>
      </c>
    </row>
    <row r="87" spans="1:20" x14ac:dyDescent="0.3">
      <c r="A87">
        <v>86</v>
      </c>
      <c r="B87">
        <v>3</v>
      </c>
      <c r="C87">
        <v>1769510773.0743201</v>
      </c>
      <c r="D87">
        <v>1769510878.9079399</v>
      </c>
      <c r="E87">
        <v>105.833617964385</v>
      </c>
      <c r="F87">
        <v>1769510250</v>
      </c>
      <c r="G87">
        <v>1769510306</v>
      </c>
      <c r="H87">
        <v>55.856000000000002</v>
      </c>
      <c r="I87">
        <v>49.9776179643858</v>
      </c>
      <c r="J87">
        <v>49.9776179643858</v>
      </c>
      <c r="K87">
        <v>61.819204712814603</v>
      </c>
      <c r="L87">
        <v>572.90794610977105</v>
      </c>
      <c r="M87">
        <v>572.90794610977105</v>
      </c>
      <c r="N87" s="2">
        <v>3.2376632756702398E-5</v>
      </c>
      <c r="O87" s="3">
        <v>46049.448762430555</v>
      </c>
      <c r="P87" s="3">
        <v>46049.449987361113</v>
      </c>
      <c r="Q87" s="1" t="s">
        <v>105</v>
      </c>
      <c r="R87" s="1" t="s">
        <v>110</v>
      </c>
      <c r="T87">
        <f t="shared" si="1"/>
        <v>-49.977617964384997</v>
      </c>
    </row>
    <row r="88" spans="1:20" x14ac:dyDescent="0.3">
      <c r="A88">
        <v>87</v>
      </c>
      <c r="B88">
        <v>2</v>
      </c>
      <c r="C88">
        <v>1769510773.0792</v>
      </c>
      <c r="D88">
        <v>1769510878.8913701</v>
      </c>
      <c r="E88">
        <v>105.81216910022199</v>
      </c>
      <c r="F88">
        <v>1769510253</v>
      </c>
      <c r="G88">
        <v>1769510310</v>
      </c>
      <c r="H88">
        <v>56.268000000000001</v>
      </c>
      <c r="I88">
        <v>49.544169100222597</v>
      </c>
      <c r="J88">
        <v>49.544169100222597</v>
      </c>
      <c r="K88">
        <v>61.135386735174002</v>
      </c>
      <c r="L88">
        <v>568.89137053489605</v>
      </c>
      <c r="M88">
        <v>568.89137053489605</v>
      </c>
      <c r="N88" s="2">
        <v>3.2149644784302997E-5</v>
      </c>
      <c r="O88" s="3">
        <v>46049.448762488428</v>
      </c>
      <c r="P88" s="3">
        <v>46049.449987164349</v>
      </c>
      <c r="Q88" s="1" t="s">
        <v>106</v>
      </c>
      <c r="R88" s="1" t="s">
        <v>111</v>
      </c>
      <c r="T88">
        <f t="shared" si="1"/>
        <v>-49.544169100221993</v>
      </c>
    </row>
    <row r="89" spans="1:20" x14ac:dyDescent="0.3">
      <c r="A89">
        <v>88</v>
      </c>
      <c r="B89">
        <v>4</v>
      </c>
      <c r="C89">
        <v>1769510773.0859699</v>
      </c>
      <c r="D89">
        <v>1769510878.8786399</v>
      </c>
      <c r="E89">
        <v>105.792669291173</v>
      </c>
      <c r="F89">
        <v>1769510266</v>
      </c>
      <c r="G89">
        <v>1769510323</v>
      </c>
      <c r="H89">
        <v>57.844000000000001</v>
      </c>
      <c r="I89">
        <v>47.948669291173502</v>
      </c>
      <c r="J89">
        <v>47.948669291173502</v>
      </c>
      <c r="K89">
        <v>58.6038196681382</v>
      </c>
      <c r="L89">
        <v>555.87864565849304</v>
      </c>
      <c r="M89">
        <v>555.87864565849304</v>
      </c>
      <c r="N89" s="2">
        <v>3.14142591382844E-5</v>
      </c>
      <c r="O89" s="3">
        <v>46049.448762569446</v>
      </c>
      <c r="P89" s="3">
        <v>46049.449987025466</v>
      </c>
      <c r="Q89" s="1" t="s">
        <v>107</v>
      </c>
      <c r="R89" s="1" t="s">
        <v>112</v>
      </c>
      <c r="T89">
        <f t="shared" si="1"/>
        <v>-47.948669291172997</v>
      </c>
    </row>
    <row r="90" spans="1:20" x14ac:dyDescent="0.3">
      <c r="A90">
        <v>89</v>
      </c>
      <c r="B90">
        <v>5</v>
      </c>
      <c r="C90">
        <v>1769510773.11059</v>
      </c>
      <c r="D90">
        <v>1769510878.8819399</v>
      </c>
      <c r="E90">
        <v>105.77135284998801</v>
      </c>
      <c r="F90">
        <v>1769510267</v>
      </c>
      <c r="G90">
        <v>1769510324</v>
      </c>
      <c r="H90">
        <v>57.646000000000001</v>
      </c>
      <c r="I90">
        <v>48.125352849988602</v>
      </c>
      <c r="J90">
        <v>48.125352849988602</v>
      </c>
      <c r="K90">
        <v>58.898705689065899</v>
      </c>
      <c r="L90">
        <v>554.881944179534</v>
      </c>
      <c r="M90">
        <v>554.881944179534</v>
      </c>
      <c r="N90" s="2">
        <v>3.1357932737315903E-5</v>
      </c>
      <c r="O90" s="3">
        <v>46049.448762858796</v>
      </c>
      <c r="P90" s="3">
        <v>46049.449987060187</v>
      </c>
      <c r="Q90" s="1" t="s">
        <v>108</v>
      </c>
      <c r="R90" s="1" t="s">
        <v>113</v>
      </c>
      <c r="T90">
        <f t="shared" si="1"/>
        <v>-48.125352849988005</v>
      </c>
    </row>
    <row r="91" spans="1:20" x14ac:dyDescent="0.3">
      <c r="A91">
        <v>90</v>
      </c>
      <c r="B91">
        <v>1</v>
      </c>
      <c r="C91">
        <v>1769510773.11202</v>
      </c>
      <c r="D91">
        <v>1769510878.8487</v>
      </c>
      <c r="E91">
        <v>105.73667429931299</v>
      </c>
      <c r="F91">
        <v>1769510301</v>
      </c>
      <c r="G91">
        <v>1769510364</v>
      </c>
      <c r="H91">
        <v>63.357999999999997</v>
      </c>
      <c r="I91">
        <v>42.378674299313801</v>
      </c>
      <c r="J91">
        <v>42.378674299313801</v>
      </c>
      <c r="K91">
        <v>50.124197553731904</v>
      </c>
      <c r="L91">
        <v>514.848703861236</v>
      </c>
      <c r="M91">
        <v>514.848703861236</v>
      </c>
      <c r="N91" s="2">
        <v>2.9095541876251201E-5</v>
      </c>
      <c r="O91" s="3">
        <v>46049.448762870372</v>
      </c>
      <c r="P91" s="3">
        <v>46049.449986678243</v>
      </c>
      <c r="Q91" s="1" t="s">
        <v>109</v>
      </c>
      <c r="R91" s="1" t="s">
        <v>114</v>
      </c>
      <c r="T91">
        <f t="shared" si="1"/>
        <v>-42.378674299312998</v>
      </c>
    </row>
    <row r="92" spans="1:20" x14ac:dyDescent="0.3">
      <c r="A92">
        <v>91</v>
      </c>
      <c r="B92">
        <v>1</v>
      </c>
      <c r="C92">
        <v>1769510878.8487</v>
      </c>
      <c r="D92">
        <v>1769510984.5656199</v>
      </c>
      <c r="E92">
        <v>105.71691768661999</v>
      </c>
      <c r="F92">
        <v>1769510306</v>
      </c>
      <c r="G92">
        <v>1769510362</v>
      </c>
      <c r="H92">
        <v>56.703000000000003</v>
      </c>
      <c r="I92">
        <v>49.013917686620701</v>
      </c>
      <c r="J92">
        <v>49.013917686620701</v>
      </c>
      <c r="K92">
        <v>60.354565357174998</v>
      </c>
      <c r="L92">
        <v>622.56562161445595</v>
      </c>
      <c r="M92">
        <v>622.56562161445595</v>
      </c>
      <c r="N92" s="2">
        <v>3.5182925484109497E-5</v>
      </c>
      <c r="O92" s="3">
        <v>46049.449986678243</v>
      </c>
      <c r="P92" s="3">
        <v>46049.451210254629</v>
      </c>
      <c r="Q92" s="1" t="s">
        <v>110</v>
      </c>
      <c r="R92" s="1" t="s">
        <v>115</v>
      </c>
      <c r="T92">
        <f t="shared" si="1"/>
        <v>-49.01391768661999</v>
      </c>
    </row>
    <row r="93" spans="1:20" x14ac:dyDescent="0.3">
      <c r="A93">
        <v>92</v>
      </c>
      <c r="B93">
        <v>4</v>
      </c>
      <c r="C93">
        <v>1769510878.8786399</v>
      </c>
      <c r="D93">
        <v>1769510984.56638</v>
      </c>
      <c r="E93">
        <v>105.68774145387999</v>
      </c>
      <c r="F93">
        <v>1769510310</v>
      </c>
      <c r="G93">
        <v>1769510369</v>
      </c>
      <c r="H93">
        <v>59.008000000000003</v>
      </c>
      <c r="I93">
        <v>46.679741453880197</v>
      </c>
      <c r="J93">
        <v>46.679741453880197</v>
      </c>
      <c r="K93">
        <v>56.686033338575299</v>
      </c>
      <c r="L93">
        <v>615.56638717651299</v>
      </c>
      <c r="M93">
        <v>615.56638717651299</v>
      </c>
      <c r="N93" s="2">
        <v>3.4787379090334499E-5</v>
      </c>
      <c r="O93" s="3">
        <v>46049.449987025466</v>
      </c>
      <c r="P93" s="3">
        <v>46049.451210254629</v>
      </c>
      <c r="Q93" s="1" t="s">
        <v>111</v>
      </c>
      <c r="R93" s="1" t="s">
        <v>116</v>
      </c>
      <c r="T93">
        <f t="shared" si="1"/>
        <v>-46.679741453879991</v>
      </c>
    </row>
    <row r="94" spans="1:20" x14ac:dyDescent="0.3">
      <c r="A94">
        <v>93</v>
      </c>
      <c r="B94">
        <v>5</v>
      </c>
      <c r="C94">
        <v>1769510878.8819399</v>
      </c>
      <c r="D94">
        <v>1769510984.55741</v>
      </c>
      <c r="E94">
        <v>105.67546681342201</v>
      </c>
      <c r="F94">
        <v>1769510323</v>
      </c>
      <c r="G94">
        <v>1769510380</v>
      </c>
      <c r="H94">
        <v>56.454999999999998</v>
      </c>
      <c r="I94">
        <v>49.220466813422298</v>
      </c>
      <c r="J94">
        <v>49.220466813422298</v>
      </c>
      <c r="K94">
        <v>60.717109844708702</v>
      </c>
      <c r="L94">
        <v>604.55741095542896</v>
      </c>
      <c r="M94">
        <v>604.55741095542896</v>
      </c>
      <c r="N94" s="2">
        <v>3.4165230931350102E-5</v>
      </c>
      <c r="O94" s="3">
        <v>46049.449987060187</v>
      </c>
      <c r="P94" s="3">
        <v>46049.451210150466</v>
      </c>
      <c r="Q94" s="1" t="s">
        <v>112</v>
      </c>
      <c r="R94" s="1" t="s">
        <v>117</v>
      </c>
      <c r="T94">
        <f t="shared" si="1"/>
        <v>-49.220466813422007</v>
      </c>
    </row>
    <row r="95" spans="1:20" x14ac:dyDescent="0.3">
      <c r="A95">
        <v>94</v>
      </c>
      <c r="B95">
        <v>2</v>
      </c>
      <c r="C95">
        <v>1769510878.8913701</v>
      </c>
      <c r="D95">
        <v>1769510984.5488501</v>
      </c>
      <c r="E95">
        <v>105.65748882027501</v>
      </c>
      <c r="F95">
        <v>1769510324</v>
      </c>
      <c r="G95">
        <v>1769510383</v>
      </c>
      <c r="H95">
        <v>58.62</v>
      </c>
      <c r="I95">
        <v>47.037488820275001</v>
      </c>
      <c r="J95">
        <v>47.037488820275001</v>
      </c>
      <c r="K95">
        <v>57.265897059986798</v>
      </c>
      <c r="L95">
        <v>601.54885935783295</v>
      </c>
      <c r="M95">
        <v>601.54885935783295</v>
      </c>
      <c r="N95" s="2">
        <v>3.3995209233476203E-5</v>
      </c>
      <c r="O95" s="3">
        <v>46049.449987164349</v>
      </c>
      <c r="P95" s="3">
        <v>46049.451210057872</v>
      </c>
      <c r="Q95" s="1" t="s">
        <v>113</v>
      </c>
      <c r="R95" s="1" t="s">
        <v>118</v>
      </c>
      <c r="T95">
        <f t="shared" si="1"/>
        <v>-47.037488820275009</v>
      </c>
    </row>
    <row r="96" spans="1:20" x14ac:dyDescent="0.3">
      <c r="A96">
        <v>95</v>
      </c>
      <c r="B96">
        <v>3</v>
      </c>
      <c r="C96">
        <v>1769510878.9079399</v>
      </c>
      <c r="D96">
        <v>1769510984.54111</v>
      </c>
      <c r="E96">
        <v>105.63317065286699</v>
      </c>
      <c r="F96">
        <v>1769510362</v>
      </c>
      <c r="G96">
        <v>1769510420</v>
      </c>
      <c r="H96">
        <v>58.02</v>
      </c>
      <c r="I96">
        <v>47.613170652867403</v>
      </c>
      <c r="J96">
        <v>47.613170652867403</v>
      </c>
      <c r="K96">
        <v>58.187898789766798</v>
      </c>
      <c r="L96">
        <v>564.54111671447697</v>
      </c>
      <c r="M96">
        <v>564.54111671447697</v>
      </c>
      <c r="N96" s="2">
        <v>3.1903797812021297E-5</v>
      </c>
      <c r="O96" s="3">
        <v>46049.449987361113</v>
      </c>
      <c r="P96" s="3">
        <v>46049.451209965278</v>
      </c>
      <c r="Q96" s="1" t="s">
        <v>115</v>
      </c>
      <c r="R96" s="1" t="s">
        <v>119</v>
      </c>
      <c r="T96">
        <f t="shared" si="1"/>
        <v>-47.613170652866991</v>
      </c>
    </row>
    <row r="97" spans="1:20" x14ac:dyDescent="0.3">
      <c r="A97">
        <v>96</v>
      </c>
      <c r="B97">
        <v>3</v>
      </c>
      <c r="C97">
        <v>1769510984.54111</v>
      </c>
      <c r="D97">
        <v>1769511070.5658801</v>
      </c>
      <c r="E97">
        <v>86.024769950025401</v>
      </c>
      <c r="F97">
        <v>1769510364</v>
      </c>
      <c r="G97">
        <v>1769510403</v>
      </c>
      <c r="H97">
        <v>39.575000000000003</v>
      </c>
      <c r="I97">
        <v>46.449769950025399</v>
      </c>
      <c r="J97">
        <v>46.449769950025399</v>
      </c>
      <c r="K97">
        <v>73.964737305660904</v>
      </c>
      <c r="L97">
        <v>667.56588673591602</v>
      </c>
      <c r="M97">
        <v>667.56588673591602</v>
      </c>
      <c r="N97" s="2">
        <v>3.7726015042416901E-5</v>
      </c>
      <c r="O97" s="3">
        <v>46049.451209965278</v>
      </c>
      <c r="P97" s="3">
        <v>46049.452205624999</v>
      </c>
      <c r="Q97" s="1" t="s">
        <v>114</v>
      </c>
      <c r="R97" s="1" t="s">
        <v>120</v>
      </c>
      <c r="T97">
        <f t="shared" si="1"/>
        <v>-46.449769950025399</v>
      </c>
    </row>
    <row r="98" spans="1:20" x14ac:dyDescent="0.3">
      <c r="A98">
        <v>97</v>
      </c>
      <c r="B98">
        <v>2</v>
      </c>
      <c r="C98">
        <v>1769510984.5488501</v>
      </c>
      <c r="D98">
        <v>1769511070.5511701</v>
      </c>
      <c r="E98">
        <v>86.0023186994772</v>
      </c>
      <c r="F98">
        <v>1769510369</v>
      </c>
      <c r="G98">
        <v>1769510388</v>
      </c>
      <c r="H98">
        <v>19.050999999999998</v>
      </c>
      <c r="I98">
        <v>66.951318699477198</v>
      </c>
      <c r="J98">
        <v>66.951318699477198</v>
      </c>
      <c r="K98">
        <v>127.461596698344</v>
      </c>
      <c r="L98">
        <v>682.55117797851506</v>
      </c>
      <c r="M98">
        <v>682.55117797851506</v>
      </c>
      <c r="N98" s="2">
        <v>3.8572875919093201E-5</v>
      </c>
      <c r="O98" s="3">
        <v>46049.451210057872</v>
      </c>
      <c r="P98" s="3">
        <v>46049.452205451387</v>
      </c>
      <c r="Q98" s="1" t="s">
        <v>116</v>
      </c>
      <c r="R98" s="1" t="s">
        <v>121</v>
      </c>
      <c r="T98">
        <f t="shared" si="1"/>
        <v>-66.951318699477198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2026-06-18T11:34:04Z</dcterms:modified>
</cp:coreProperties>
</file>