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decarb 98/"/>
    </mc:Choice>
  </mc:AlternateContent>
  <xr:revisionPtr revIDLastSave="79" documentId="11_AD4DADEC636C813AC809E415181B7BC65BDEDD96" xr6:coauthVersionLast="47" xr6:coauthVersionMax="47" xr10:uidLastSave="{D6D02468-B7C2-46D1-A55F-990230553FF7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8" i="1" l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X2" i="1" l="1"/>
  <c r="W2" i="1"/>
  <c r="V2" i="1"/>
  <c r="U2" i="1"/>
</calcChain>
</file>

<file path=xl/sharedStrings.xml><?xml version="1.0" encoding="utf-8"?>
<sst xmlns="http://schemas.openxmlformats.org/spreadsheetml/2006/main" count="217" uniqueCount="127">
  <si>
    <t>real_end_datetime</t>
  </si>
  <si>
    <t>real_start_datetime</t>
  </si>
  <si>
    <t>predicted_end_datetime</t>
  </si>
  <si>
    <t>predicted_start_datetime</t>
  </si>
  <si>
    <t>end_time_smape</t>
  </si>
  <si>
    <t>end_time_abs_error_seconds</t>
  </si>
  <si>
    <t>end_time_error_seconds</t>
  </si>
  <si>
    <t>duration_smape</t>
  </si>
  <si>
    <t>duration_abs_error_seconds</t>
  </si>
  <si>
    <t>duration_error_seconds</t>
  </si>
  <si>
    <t>real_duration_seconds</t>
  </si>
  <si>
    <t>real_end_time</t>
  </si>
  <si>
    <t>real_start_time</t>
  </si>
  <si>
    <t>predicted_duration_seconds</t>
  </si>
  <si>
    <t>predicted_end_time</t>
  </si>
  <si>
    <t>predicted_start_time</t>
  </si>
  <si>
    <t>worker_id</t>
  </si>
  <si>
    <t>queue_position</t>
  </si>
  <si>
    <t>27,01,2026  10:17:15</t>
  </si>
  <si>
    <t>27,01,2026  10:17:37</t>
  </si>
  <si>
    <t>27,01,2026  10:17:30</t>
  </si>
  <si>
    <t>27,01,2026  10:17:17</t>
  </si>
  <si>
    <t>27,01,2026  10:17:18</t>
  </si>
  <si>
    <t>27,01,2026  10:17:46</t>
  </si>
  <si>
    <t>27,01,2026  10:17:29</t>
  </si>
  <si>
    <t>27,01,2026  10:17:50</t>
  </si>
  <si>
    <t>27,01,2026  10:19:28</t>
  </si>
  <si>
    <t>27,01,2026  10:18:07</t>
  </si>
  <si>
    <t>27,01,2026  10:18:02</t>
  </si>
  <si>
    <t>27,01,2026  10:18:11</t>
  </si>
  <si>
    <t>27,01,2026  10:21:08</t>
  </si>
  <si>
    <t>27,01,2026  10:21:30</t>
  </si>
  <si>
    <t>27,01,2026  10:23:23</t>
  </si>
  <si>
    <t>27,01,2026  10:21:25</t>
  </si>
  <si>
    <t>27,01,2026  10:21:09</t>
  </si>
  <si>
    <t>27,01,2026  10:21:39</t>
  </si>
  <si>
    <t>27,01,2026  10:21:34</t>
  </si>
  <si>
    <t>27,01,2026  10:21:24</t>
  </si>
  <si>
    <t>27,01,2026  10:21:48</t>
  </si>
  <si>
    <t>27,01,2026  10:21:52</t>
  </si>
  <si>
    <t>27,01,2026  10:21:55</t>
  </si>
  <si>
    <t>27,01,2026  10:22:09</t>
  </si>
  <si>
    <t>27,01,2026  10:22:15</t>
  </si>
  <si>
    <t>27,01,2026  10:24:55</t>
  </si>
  <si>
    <t>27,01,2026  10:25:58</t>
  </si>
  <si>
    <t>27,01,2026  10:26:03</t>
  </si>
  <si>
    <t>27,01,2026  10:26:06</t>
  </si>
  <si>
    <t>27,01,2026  10:24:56</t>
  </si>
  <si>
    <t>27,01,2026  10:25:54</t>
  </si>
  <si>
    <t>27,01,2026  10:24:57</t>
  </si>
  <si>
    <t>27,01,2026  10:26:50</t>
  </si>
  <si>
    <t>27,01,2026  10:26:56</t>
  </si>
  <si>
    <t>27,01,2026  10:26:59</t>
  </si>
  <si>
    <t>27,01,2026  10:27:03</t>
  </si>
  <si>
    <t>27,01,2026  10:27:48</t>
  </si>
  <si>
    <t>27,01,2026  10:27:55</t>
  </si>
  <si>
    <t>27,01,2026  10:27:57</t>
  </si>
  <si>
    <t>27,01,2026  10:28:06</t>
  </si>
  <si>
    <t>27,01,2026  10:27:58</t>
  </si>
  <si>
    <t>27,01,2026  10:28:48</t>
  </si>
  <si>
    <t>27,01,2026  10:28:57</t>
  </si>
  <si>
    <t>27,01,2026  10:28:53</t>
  </si>
  <si>
    <t>27,01,2026  10:29:05</t>
  </si>
  <si>
    <t>27,01,2026  10:29:45</t>
  </si>
  <si>
    <t>27,01,2026  10:29:54</t>
  </si>
  <si>
    <t>27,01,2026  10:28:56</t>
  </si>
  <si>
    <t>27,01,2026  10:29:55</t>
  </si>
  <si>
    <t>27,01,2026  10:29:53</t>
  </si>
  <si>
    <t>27,01,2026  10:30:03</t>
  </si>
  <si>
    <t>27,01,2026  10:30:48</t>
  </si>
  <si>
    <t>27,01,2026  10:30:50</t>
  </si>
  <si>
    <t>27,01,2026  10:30:54</t>
  </si>
  <si>
    <t>27,01,2026  10:30:53</t>
  </si>
  <si>
    <t>27,01,2026  10:31:04</t>
  </si>
  <si>
    <t>27,01,2026  10:31:45</t>
  </si>
  <si>
    <t>27,01,2026  10:31:48</t>
  </si>
  <si>
    <t>27,01,2026  10:31:55</t>
  </si>
  <si>
    <t>27,01,2026  10:31:54</t>
  </si>
  <si>
    <t>27,01,2026  10:31:03</t>
  </si>
  <si>
    <t>27,01,2026  10:32:05</t>
  </si>
  <si>
    <t>27,01,2026  10:32:41</t>
  </si>
  <si>
    <t>27,01,2026  10:32:44</t>
  </si>
  <si>
    <t>27,01,2026  10:32:51</t>
  </si>
  <si>
    <t>27,01,2026  10:32:55</t>
  </si>
  <si>
    <t>27,01,2026  10:33:09</t>
  </si>
  <si>
    <t>27,01,2026  10:33:40</t>
  </si>
  <si>
    <t>27,01,2026  10:33:41</t>
  </si>
  <si>
    <t>27,01,2026  10:33:48</t>
  </si>
  <si>
    <t>27,01,2026  10:33:51</t>
  </si>
  <si>
    <t>27,01,2026  10:34:09</t>
  </si>
  <si>
    <t>27,01,2026  10:34:38</t>
  </si>
  <si>
    <t>27,01,2026  10:34:40</t>
  </si>
  <si>
    <t>27,01,2026  10:34:43</t>
  </si>
  <si>
    <t>27,01,2026  10:34:47</t>
  </si>
  <si>
    <t>27,01,2026  10:35:10</t>
  </si>
  <si>
    <t>27,01,2026  10:35:34</t>
  </si>
  <si>
    <t>27,01,2026  10:35:37</t>
  </si>
  <si>
    <t>27,01,2026  10:35:44</t>
  </si>
  <si>
    <t>27,01,2026  10:35:45</t>
  </si>
  <si>
    <t>27,01,2026  10:36:14</t>
  </si>
  <si>
    <t>27,01,2026  10:36:31</t>
  </si>
  <si>
    <t>27,01,2026  10:36:36</t>
  </si>
  <si>
    <t>27,01,2026  10:36:45</t>
  </si>
  <si>
    <t>27,01,2026  10:36:46</t>
  </si>
  <si>
    <t>27,01,2026  10:37:16</t>
  </si>
  <si>
    <t>27,01,2026  10:37:30</t>
  </si>
  <si>
    <t>27,01,2026  10:37:33</t>
  </si>
  <si>
    <t>27,01,2026  10:37:46</t>
  </si>
  <si>
    <t>27,01,2026  10:37:47</t>
  </si>
  <si>
    <t>27,01,2026  10:38:21</t>
  </si>
  <si>
    <t>27,01,2026  10:38:26</t>
  </si>
  <si>
    <t>27,01,2026  10:38:30</t>
  </si>
  <si>
    <t>27,01,2026  10:38:43</t>
  </si>
  <si>
    <t>27,01,2026  10:38:44</t>
  </si>
  <si>
    <t>27,01,2026  10:39:24</t>
  </si>
  <si>
    <t>27,01,2026  10:39:22</t>
  </si>
  <si>
    <t>27,01,2026  10:39:29</t>
  </si>
  <si>
    <t>27,01,2026  10:39:40</t>
  </si>
  <si>
    <t>27,01,2026  10:39:43</t>
  </si>
  <si>
    <t>27,01,2026  10:40:20</t>
  </si>
  <si>
    <t>27,01,2026  10:40:03</t>
  </si>
  <si>
    <t>27,01,2026  10:39:48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</si>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</sst>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Hoeffding Trees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2.4652812955093632E-2"/>
          <c:y val="9.9434062011356711E-2"/>
          <c:w val="0.89171349672621336"/>
          <c:h val="0.8575740710220181"/>
        </c:manualLayout>
      </c:layout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71.826201963534203</c:v>
                </c:pt>
                <c:pt idx="1">
                  <c:v>71.7570504201679</c:v>
                </c:pt>
                <c:pt idx="2">
                  <c:v>71.688562237762099</c:v>
                </c:pt>
                <c:pt idx="3">
                  <c:v>71.609995810055693</c:v>
                </c:pt>
                <c:pt idx="4">
                  <c:v>71.538185495118398</c:v>
                </c:pt>
                <c:pt idx="5">
                  <c:v>71.478022284122403</c:v>
                </c:pt>
                <c:pt idx="6">
                  <c:v>71.4079666203058</c:v>
                </c:pt>
                <c:pt idx="7">
                  <c:v>71.462658333333195</c:v>
                </c:pt>
                <c:pt idx="8">
                  <c:v>71.404171983356306</c:v>
                </c:pt>
                <c:pt idx="9">
                  <c:v>71.340210526315602</c:v>
                </c:pt>
                <c:pt idx="10">
                  <c:v>71.275899031811704</c:v>
                </c:pt>
                <c:pt idx="11">
                  <c:v>71.208526243093701</c:v>
                </c:pt>
                <c:pt idx="12">
                  <c:v>71.297052413792898</c:v>
                </c:pt>
                <c:pt idx="13">
                  <c:v>71.221866391184406</c:v>
                </c:pt>
                <c:pt idx="14">
                  <c:v>71.164528198074095</c:v>
                </c:pt>
                <c:pt idx="15">
                  <c:v>71.1004807692306</c:v>
                </c:pt>
                <c:pt idx="16">
                  <c:v>71.036005486968307</c:v>
                </c:pt>
                <c:pt idx="17">
                  <c:v>70.969443835616204</c:v>
                </c:pt>
                <c:pt idx="18">
                  <c:v>70.901091655266598</c:v>
                </c:pt>
                <c:pt idx="19">
                  <c:v>70.845949453551697</c:v>
                </c:pt>
                <c:pt idx="20">
                  <c:v>58.388041407867398</c:v>
                </c:pt>
                <c:pt idx="21">
                  <c:v>58.392530991735399</c:v>
                </c:pt>
                <c:pt idx="22">
                  <c:v>58.405779381443203</c:v>
                </c:pt>
                <c:pt idx="23">
                  <c:v>58.425224279835298</c:v>
                </c:pt>
                <c:pt idx="24">
                  <c:v>58.417932238192897</c:v>
                </c:pt>
                <c:pt idx="25">
                  <c:v>58.417475409836001</c:v>
                </c:pt>
                <c:pt idx="26">
                  <c:v>58.406705521472297</c:v>
                </c:pt>
                <c:pt idx="27">
                  <c:v>58.398930612244797</c:v>
                </c:pt>
                <c:pt idx="28">
                  <c:v>58.399260692464203</c:v>
                </c:pt>
                <c:pt idx="29">
                  <c:v>58.396304878048703</c:v>
                </c:pt>
                <c:pt idx="30">
                  <c:v>58.388598377281802</c:v>
                </c:pt>
                <c:pt idx="31">
                  <c:v>58.3815769230768</c:v>
                </c:pt>
                <c:pt idx="32">
                  <c:v>58.377169696969602</c:v>
                </c:pt>
                <c:pt idx="33">
                  <c:v>58.370885080645103</c:v>
                </c:pt>
                <c:pt idx="34">
                  <c:v>58.373408450704098</c:v>
                </c:pt>
                <c:pt idx="35">
                  <c:v>58.360036144578203</c:v>
                </c:pt>
                <c:pt idx="36">
                  <c:v>58.357861723446803</c:v>
                </c:pt>
                <c:pt idx="37">
                  <c:v>58.3584379999999</c:v>
                </c:pt>
                <c:pt idx="38">
                  <c:v>58.354375249500897</c:v>
                </c:pt>
                <c:pt idx="39">
                  <c:v>58.342537848605502</c:v>
                </c:pt>
                <c:pt idx="40">
                  <c:v>58.3396560636182</c:v>
                </c:pt>
                <c:pt idx="41">
                  <c:v>58.330847222222097</c:v>
                </c:pt>
                <c:pt idx="42">
                  <c:v>58.329455445544497</c:v>
                </c:pt>
                <c:pt idx="43">
                  <c:v>58.323515810276596</c:v>
                </c:pt>
                <c:pt idx="44">
                  <c:v>58.314447731755301</c:v>
                </c:pt>
                <c:pt idx="45">
                  <c:v>58.306202755905403</c:v>
                </c:pt>
                <c:pt idx="46">
                  <c:v>58.309717092337799</c:v>
                </c:pt>
                <c:pt idx="47">
                  <c:v>58.302023529411699</c:v>
                </c:pt>
                <c:pt idx="48">
                  <c:v>58.300254403130999</c:v>
                </c:pt>
                <c:pt idx="49">
                  <c:v>58.2948164062499</c:v>
                </c:pt>
                <c:pt idx="50">
                  <c:v>58.293046783625599</c:v>
                </c:pt>
                <c:pt idx="51">
                  <c:v>58.286142023346201</c:v>
                </c:pt>
                <c:pt idx="52">
                  <c:v>58.279027184465903</c:v>
                </c:pt>
                <c:pt idx="53">
                  <c:v>58.279356589147199</c:v>
                </c:pt>
                <c:pt idx="54">
                  <c:v>58.2757137330753</c:v>
                </c:pt>
                <c:pt idx="55">
                  <c:v>58.2766389961389</c:v>
                </c:pt>
                <c:pt idx="56">
                  <c:v>58.265768786127097</c:v>
                </c:pt>
                <c:pt idx="57">
                  <c:v>58.256953846153799</c:v>
                </c:pt>
                <c:pt idx="58">
                  <c:v>58.250500959692801</c:v>
                </c:pt>
                <c:pt idx="59">
                  <c:v>58.248699233716401</c:v>
                </c:pt>
                <c:pt idx="60">
                  <c:v>58.253282982791497</c:v>
                </c:pt>
                <c:pt idx="61">
                  <c:v>58.249395038167897</c:v>
                </c:pt>
                <c:pt idx="62">
                  <c:v>58.242182857142801</c:v>
                </c:pt>
                <c:pt idx="63">
                  <c:v>58.232730038022702</c:v>
                </c:pt>
                <c:pt idx="64">
                  <c:v>58.222654648956301</c:v>
                </c:pt>
                <c:pt idx="65">
                  <c:v>58.221253787878702</c:v>
                </c:pt>
                <c:pt idx="66">
                  <c:v>58.214109640831701</c:v>
                </c:pt>
                <c:pt idx="67">
                  <c:v>58.209013207547102</c:v>
                </c:pt>
                <c:pt idx="68">
                  <c:v>58.198629001883198</c:v>
                </c:pt>
                <c:pt idx="69">
                  <c:v>58.189366541353301</c:v>
                </c:pt>
                <c:pt idx="70">
                  <c:v>58.188337711069302</c:v>
                </c:pt>
                <c:pt idx="71">
                  <c:v>58.179837078651602</c:v>
                </c:pt>
                <c:pt idx="72">
                  <c:v>58.173842990654101</c:v>
                </c:pt>
                <c:pt idx="73">
                  <c:v>58.173011194029797</c:v>
                </c:pt>
                <c:pt idx="74">
                  <c:v>58.167538175046502</c:v>
                </c:pt>
                <c:pt idx="75">
                  <c:v>58.172368029739701</c:v>
                </c:pt>
                <c:pt idx="76">
                  <c:v>58.1652615955472</c:v>
                </c:pt>
                <c:pt idx="77">
                  <c:v>58.159664814814697</c:v>
                </c:pt>
                <c:pt idx="78">
                  <c:v>58.160157116450897</c:v>
                </c:pt>
                <c:pt idx="79">
                  <c:v>58.159287822878099</c:v>
                </c:pt>
                <c:pt idx="80">
                  <c:v>58.160963167587397</c:v>
                </c:pt>
                <c:pt idx="81">
                  <c:v>58.157090073529297</c:v>
                </c:pt>
                <c:pt idx="82">
                  <c:v>58.151075229357701</c:v>
                </c:pt>
                <c:pt idx="83">
                  <c:v>58.150016483516403</c:v>
                </c:pt>
                <c:pt idx="84">
                  <c:v>58.149122486288803</c:v>
                </c:pt>
                <c:pt idx="85">
                  <c:v>58.157364963503603</c:v>
                </c:pt>
                <c:pt idx="86">
                  <c:v>58.147708561019897</c:v>
                </c:pt>
                <c:pt idx="87">
                  <c:v>58.138836363636301</c:v>
                </c:pt>
                <c:pt idx="88">
                  <c:v>58.132856624319302</c:v>
                </c:pt>
                <c:pt idx="89">
                  <c:v>58.126539855072402</c:v>
                </c:pt>
                <c:pt idx="90">
                  <c:v>58.130575045207898</c:v>
                </c:pt>
                <c:pt idx="91">
                  <c:v>58.122583032490901</c:v>
                </c:pt>
                <c:pt idx="92">
                  <c:v>58.118772972972899</c:v>
                </c:pt>
                <c:pt idx="93">
                  <c:v>58.110384892086202</c:v>
                </c:pt>
                <c:pt idx="94">
                  <c:v>58.105913824057403</c:v>
                </c:pt>
                <c:pt idx="95">
                  <c:v>70.787028649385903</c:v>
                </c:pt>
                <c:pt idx="96">
                  <c:v>70.744505449591102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2-4C45-8033-9FB1ADB2F674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22.452000000000002</c:v>
                </c:pt>
                <c:pt idx="1">
                  <c:v>22.788</c:v>
                </c:pt>
                <c:pt idx="2">
                  <c:v>15.435</c:v>
                </c:pt>
                <c:pt idx="3">
                  <c:v>20.122</c:v>
                </c:pt>
                <c:pt idx="4">
                  <c:v>28.341000000000001</c:v>
                </c:pt>
                <c:pt idx="5">
                  <c:v>21.108000000000001</c:v>
                </c:pt>
                <c:pt idx="6">
                  <c:v>110.786</c:v>
                </c:pt>
                <c:pt idx="7">
                  <c:v>29.294</c:v>
                </c:pt>
                <c:pt idx="8">
                  <c:v>25.224</c:v>
                </c:pt>
                <c:pt idx="9">
                  <c:v>24.843</c:v>
                </c:pt>
                <c:pt idx="10">
                  <c:v>22.498000000000001</c:v>
                </c:pt>
                <c:pt idx="11">
                  <c:v>135.38999999999999</c:v>
                </c:pt>
                <c:pt idx="12">
                  <c:v>16.712</c:v>
                </c:pt>
                <c:pt idx="13">
                  <c:v>29.536999999999999</c:v>
                </c:pt>
                <c:pt idx="14">
                  <c:v>24.538</c:v>
                </c:pt>
                <c:pt idx="15">
                  <c:v>24.097999999999999</c:v>
                </c:pt>
                <c:pt idx="16">
                  <c:v>22.446000000000002</c:v>
                </c:pt>
                <c:pt idx="17">
                  <c:v>21.004000000000001</c:v>
                </c:pt>
                <c:pt idx="18">
                  <c:v>30.536999999999999</c:v>
                </c:pt>
                <c:pt idx="19">
                  <c:v>27.657</c:v>
                </c:pt>
                <c:pt idx="20">
                  <c:v>63.561</c:v>
                </c:pt>
                <c:pt idx="21">
                  <c:v>67.817999999999998</c:v>
                </c:pt>
                <c:pt idx="22">
                  <c:v>70.855999999999995</c:v>
                </c:pt>
                <c:pt idx="23">
                  <c:v>57.874000000000002</c:v>
                </c:pt>
                <c:pt idx="24">
                  <c:v>61.195</c:v>
                </c:pt>
                <c:pt idx="25">
                  <c:v>56.151000000000003</c:v>
                </c:pt>
                <c:pt idx="26">
                  <c:v>57.597000000000001</c:v>
                </c:pt>
                <c:pt idx="27">
                  <c:v>61.561</c:v>
                </c:pt>
                <c:pt idx="28">
                  <c:v>59.945</c:v>
                </c:pt>
                <c:pt idx="29">
                  <c:v>57.597000000000001</c:v>
                </c:pt>
                <c:pt idx="30">
                  <c:v>57.92</c:v>
                </c:pt>
                <c:pt idx="31">
                  <c:v>59.2</c:v>
                </c:pt>
                <c:pt idx="32">
                  <c:v>58.26</c:v>
                </c:pt>
                <c:pt idx="33">
                  <c:v>62.625</c:v>
                </c:pt>
                <c:pt idx="34">
                  <c:v>54.713999999999999</c:v>
                </c:pt>
                <c:pt idx="35">
                  <c:v>60.274999999999999</c:v>
                </c:pt>
                <c:pt idx="36">
                  <c:v>61.646000000000001</c:v>
                </c:pt>
                <c:pt idx="37">
                  <c:v>59.323</c:v>
                </c:pt>
                <c:pt idx="38">
                  <c:v>55.411999999999999</c:v>
                </c:pt>
                <c:pt idx="39">
                  <c:v>59.893000000000001</c:v>
                </c:pt>
                <c:pt idx="40">
                  <c:v>56.9</c:v>
                </c:pt>
                <c:pt idx="41">
                  <c:v>60.628</c:v>
                </c:pt>
                <c:pt idx="42">
                  <c:v>58.323999999999998</c:v>
                </c:pt>
                <c:pt idx="43">
                  <c:v>56.725999999999999</c:v>
                </c:pt>
                <c:pt idx="44">
                  <c:v>57.125999999999998</c:v>
                </c:pt>
                <c:pt idx="45">
                  <c:v>63.094999999999999</c:v>
                </c:pt>
                <c:pt idx="46">
                  <c:v>57.386000000000003</c:v>
                </c:pt>
                <c:pt idx="47">
                  <c:v>60.398000000000003</c:v>
                </c:pt>
                <c:pt idx="48">
                  <c:v>58.515999999999998</c:v>
                </c:pt>
                <c:pt idx="49">
                  <c:v>60.387</c:v>
                </c:pt>
                <c:pt idx="50">
                  <c:v>57.744</c:v>
                </c:pt>
                <c:pt idx="51">
                  <c:v>57.622</c:v>
                </c:pt>
                <c:pt idx="52">
                  <c:v>61.448999999999998</c:v>
                </c:pt>
                <c:pt idx="53">
                  <c:v>59.396000000000001</c:v>
                </c:pt>
                <c:pt idx="54">
                  <c:v>61.755000000000003</c:v>
                </c:pt>
                <c:pt idx="55">
                  <c:v>55.634999999999998</c:v>
                </c:pt>
                <c:pt idx="56">
                  <c:v>56.682000000000002</c:v>
                </c:pt>
                <c:pt idx="57">
                  <c:v>57.895000000000003</c:v>
                </c:pt>
                <c:pt idx="58">
                  <c:v>60.31</c:v>
                </c:pt>
                <c:pt idx="59">
                  <c:v>63.646000000000001</c:v>
                </c:pt>
                <c:pt idx="60">
                  <c:v>59.216000000000001</c:v>
                </c:pt>
                <c:pt idx="61">
                  <c:v>57.463000000000001</c:v>
                </c:pt>
                <c:pt idx="62">
                  <c:v>56.27</c:v>
                </c:pt>
                <c:pt idx="63">
                  <c:v>55.923000000000002</c:v>
                </c:pt>
                <c:pt idx="64">
                  <c:v>60.482999999999997</c:v>
                </c:pt>
                <c:pt idx="65">
                  <c:v>57.442</c:v>
                </c:pt>
                <c:pt idx="66">
                  <c:v>58.512999999999998</c:v>
                </c:pt>
                <c:pt idx="67">
                  <c:v>55.695</c:v>
                </c:pt>
                <c:pt idx="68">
                  <c:v>56.271000000000001</c:v>
                </c:pt>
                <c:pt idx="69">
                  <c:v>60.640999999999998</c:v>
                </c:pt>
                <c:pt idx="70">
                  <c:v>56.649000000000001</c:v>
                </c:pt>
                <c:pt idx="71">
                  <c:v>57.972999999999999</c:v>
                </c:pt>
                <c:pt idx="72">
                  <c:v>60.728000000000002</c:v>
                </c:pt>
                <c:pt idx="73">
                  <c:v>58.234000000000002</c:v>
                </c:pt>
                <c:pt idx="74">
                  <c:v>63.765999999999998</c:v>
                </c:pt>
                <c:pt idx="75">
                  <c:v>57.341999999999999</c:v>
                </c:pt>
                <c:pt idx="76">
                  <c:v>58.143000000000001</c:v>
                </c:pt>
                <c:pt idx="77">
                  <c:v>61.426000000000002</c:v>
                </c:pt>
                <c:pt idx="78">
                  <c:v>60.689</c:v>
                </c:pt>
                <c:pt idx="79">
                  <c:v>62.069000000000003</c:v>
                </c:pt>
                <c:pt idx="80">
                  <c:v>59.054000000000002</c:v>
                </c:pt>
                <c:pt idx="81">
                  <c:v>57.878999999999998</c:v>
                </c:pt>
                <c:pt idx="82">
                  <c:v>60.573</c:v>
                </c:pt>
                <c:pt idx="83">
                  <c:v>60.661000000000001</c:v>
                </c:pt>
                <c:pt idx="84">
                  <c:v>65.665999999999997</c:v>
                </c:pt>
                <c:pt idx="85">
                  <c:v>55.856000000000002</c:v>
                </c:pt>
                <c:pt idx="86">
                  <c:v>56.268000000000001</c:v>
                </c:pt>
                <c:pt idx="87">
                  <c:v>57.844000000000001</c:v>
                </c:pt>
                <c:pt idx="88">
                  <c:v>57.646000000000001</c:v>
                </c:pt>
                <c:pt idx="89">
                  <c:v>63.357999999999997</c:v>
                </c:pt>
                <c:pt idx="90">
                  <c:v>56.703000000000003</c:v>
                </c:pt>
                <c:pt idx="91">
                  <c:v>59.008000000000003</c:v>
                </c:pt>
                <c:pt idx="92">
                  <c:v>56.454999999999998</c:v>
                </c:pt>
                <c:pt idx="93">
                  <c:v>58.62</c:v>
                </c:pt>
                <c:pt idx="94">
                  <c:v>58.02</c:v>
                </c:pt>
                <c:pt idx="95">
                  <c:v>39.575000000000003</c:v>
                </c:pt>
                <c:pt idx="96">
                  <c:v>19.050999999999998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42-4C45-8033-9FB1ADB2F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39952"/>
        <c:axId val="194544752"/>
      </c:scatterChart>
      <c:valAx>
        <c:axId val="19453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44752"/>
        <c:crosses val="autoZero"/>
        <c:crossBetween val="midCat"/>
      </c:valAx>
      <c:valAx>
        <c:axId val="19454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3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302030</xdr:colOff>
      <xdr:row>1</xdr:row>
      <xdr:rowOff>17930</xdr:rowOff>
    </xdr:from>
    <xdr:to>
      <xdr:col>23</xdr:col>
      <xdr:colOff>275985</xdr:colOff>
      <xdr:row>31</xdr:row>
      <xdr:rowOff>14960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AFADF50-47A8-DEF4-BDDE-9F923EC2B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"/>
  <sheetViews>
    <sheetView tabSelected="1" topLeftCell="D1" zoomScale="85" zoomScaleNormal="85" workbookViewId="0">
      <selection activeCell="X9" sqref="X9"/>
    </sheetView>
  </sheetViews>
  <sheetFormatPr defaultRowHeight="14.4" x14ac:dyDescent="0.3"/>
  <cols>
    <col min="4" max="4" width="18.109375" bestFit="1" customWidth="1"/>
    <col min="5" max="5" width="25.33203125" bestFit="1" customWidth="1"/>
    <col min="7" max="7" width="13.21875" bestFit="1" customWidth="1"/>
    <col min="18" max="18" width="18.88671875" customWidth="1"/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3</v>
      </c>
      <c r="P1" t="s">
        <v>2</v>
      </c>
      <c r="Q1" t="s">
        <v>1</v>
      </c>
      <c r="R1" t="s">
        <v>0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</row>
    <row r="2" spans="1:24" x14ac:dyDescent="0.3">
      <c r="A2">
        <v>1</v>
      </c>
      <c r="B2">
        <v>1</v>
      </c>
      <c r="C2">
        <v>1769509035</v>
      </c>
      <c r="D2">
        <v>1769509106.8262</v>
      </c>
      <c r="E2">
        <v>71.826201963534203</v>
      </c>
      <c r="F2">
        <v>1769509035</v>
      </c>
      <c r="G2">
        <v>1769509057</v>
      </c>
      <c r="H2">
        <v>22.452000000000002</v>
      </c>
      <c r="I2">
        <v>49.374201963534198</v>
      </c>
      <c r="J2">
        <v>49.374201963534198</v>
      </c>
      <c r="K2">
        <v>104.74150107918101</v>
      </c>
      <c r="L2">
        <v>49.826201915740903</v>
      </c>
      <c r="M2">
        <v>49.826201915740903</v>
      </c>
      <c r="N2" s="3">
        <v>2.81582063777098E-6</v>
      </c>
      <c r="O2" s="2">
        <v>46049.42864583333</v>
      </c>
      <c r="P2" s="2">
        <v>46049.429477152778</v>
      </c>
      <c r="Q2" s="1" t="s">
        <v>18</v>
      </c>
      <c r="R2" s="1" t="s">
        <v>19</v>
      </c>
      <c r="T2">
        <f>H2-E2</f>
        <v>-49.374201963534205</v>
      </c>
      <c r="U2">
        <f>AVERAGE(T2:T98)</f>
        <v>-7.8413091608621954</v>
      </c>
      <c r="V2">
        <f>MEDIAN(T2:T98)</f>
        <v>-0.36195384615379567</v>
      </c>
      <c r="W2">
        <f>COUNTIF(T2:T98,"&lt;0")/COUNT(T2:T98)</f>
        <v>0.57731958762886593</v>
      </c>
      <c r="X2">
        <f>COUNTIF(T2:T98,"&gt;0")/COUNT(T2:T98)</f>
        <v>0.42268041237113402</v>
      </c>
    </row>
    <row r="3" spans="1:24" x14ac:dyDescent="0.3">
      <c r="A3">
        <v>2</v>
      </c>
      <c r="B3">
        <v>2</v>
      </c>
      <c r="C3">
        <v>1769509035</v>
      </c>
      <c r="D3">
        <v>1769509106.75705</v>
      </c>
      <c r="E3">
        <v>71.7570504201679</v>
      </c>
      <c r="F3">
        <v>1769509035</v>
      </c>
      <c r="G3">
        <v>1769509057</v>
      </c>
      <c r="H3">
        <v>22.788</v>
      </c>
      <c r="I3">
        <v>48.969050420167903</v>
      </c>
      <c r="J3">
        <v>48.969050420167903</v>
      </c>
      <c r="K3">
        <v>103.588818669077</v>
      </c>
      <c r="L3">
        <v>49.757050514221099</v>
      </c>
      <c r="M3">
        <v>49.757050514221099</v>
      </c>
      <c r="N3" s="3">
        <v>2.8119126950961202E-6</v>
      </c>
      <c r="O3" s="2">
        <v>46049.42864583333</v>
      </c>
      <c r="P3" s="2">
        <v>46049.429476354169</v>
      </c>
      <c r="Q3" s="1" t="s">
        <v>18</v>
      </c>
      <c r="R3" s="1" t="s">
        <v>19</v>
      </c>
      <c r="T3">
        <f t="shared" ref="T3:T37" si="0">H3-E3</f>
        <v>-48.969050420167903</v>
      </c>
    </row>
    <row r="4" spans="1:24" x14ac:dyDescent="0.3">
      <c r="A4">
        <v>3</v>
      </c>
      <c r="B4">
        <v>3</v>
      </c>
      <c r="C4">
        <v>1769509035</v>
      </c>
      <c r="D4">
        <v>1769509106.68856</v>
      </c>
      <c r="E4">
        <v>71.688562237762099</v>
      </c>
      <c r="F4">
        <v>1769509035</v>
      </c>
      <c r="G4">
        <v>1769509050</v>
      </c>
      <c r="H4">
        <v>15.435</v>
      </c>
      <c r="I4">
        <v>56.253562237762097</v>
      </c>
      <c r="J4">
        <v>56.253562237762097</v>
      </c>
      <c r="K4">
        <v>129.135128988975</v>
      </c>
      <c r="L4">
        <v>56.688562154769897</v>
      </c>
      <c r="M4">
        <v>56.688562154769897</v>
      </c>
      <c r="N4" s="3">
        <v>3.2036321739480999E-6</v>
      </c>
      <c r="O4" s="2">
        <v>46049.42864583333</v>
      </c>
      <c r="P4" s="2">
        <v>46049.429475567129</v>
      </c>
      <c r="Q4" s="1" t="s">
        <v>18</v>
      </c>
      <c r="R4" s="1" t="s">
        <v>20</v>
      </c>
      <c r="T4">
        <f t="shared" si="0"/>
        <v>-56.253562237762097</v>
      </c>
    </row>
    <row r="5" spans="1:24" x14ac:dyDescent="0.3">
      <c r="A5">
        <v>4</v>
      </c>
      <c r="B5">
        <v>4</v>
      </c>
      <c r="C5">
        <v>1769509035</v>
      </c>
      <c r="D5">
        <v>1769509106.6099899</v>
      </c>
      <c r="E5">
        <v>71.609995810055693</v>
      </c>
      <c r="F5">
        <v>1769509037</v>
      </c>
      <c r="G5">
        <v>1769509057</v>
      </c>
      <c r="H5">
        <v>20.122</v>
      </c>
      <c r="I5">
        <v>51.4879958100557</v>
      </c>
      <c r="J5">
        <v>51.4879958100557</v>
      </c>
      <c r="K5">
        <v>112.257441594684</v>
      </c>
      <c r="L5">
        <v>49.609995841979902</v>
      </c>
      <c r="M5">
        <v>49.609995841979902</v>
      </c>
      <c r="N5" s="3">
        <v>2.80360221668797E-6</v>
      </c>
      <c r="O5" s="2">
        <v>46049.42864583333</v>
      </c>
      <c r="P5" s="2">
        <v>46049.429474652781</v>
      </c>
      <c r="Q5" s="1" t="s">
        <v>21</v>
      </c>
      <c r="R5" s="1" t="s">
        <v>19</v>
      </c>
      <c r="T5">
        <f t="shared" si="0"/>
        <v>-51.487995810055693</v>
      </c>
    </row>
    <row r="6" spans="1:24" x14ac:dyDescent="0.3">
      <c r="A6">
        <v>5</v>
      </c>
      <c r="B6">
        <v>5</v>
      </c>
      <c r="C6">
        <v>1769509035</v>
      </c>
      <c r="D6">
        <v>1769509106.5381801</v>
      </c>
      <c r="E6">
        <v>71.538185495118398</v>
      </c>
      <c r="F6">
        <v>1769509038</v>
      </c>
      <c r="G6">
        <v>1769509066</v>
      </c>
      <c r="H6">
        <v>28.341000000000001</v>
      </c>
      <c r="I6">
        <v>43.197185495118397</v>
      </c>
      <c r="J6">
        <v>43.197185495118397</v>
      </c>
      <c r="K6">
        <v>86.498874176801607</v>
      </c>
      <c r="L6">
        <v>40.538185596466001</v>
      </c>
      <c r="M6">
        <v>40.538185596466001</v>
      </c>
      <c r="N6" s="3">
        <v>2.29092836601017E-6</v>
      </c>
      <c r="O6" s="2">
        <v>46049.42864583333</v>
      </c>
      <c r="P6" s="2">
        <v>46049.429473819444</v>
      </c>
      <c r="Q6" s="1" t="s">
        <v>22</v>
      </c>
      <c r="R6" s="1" t="s">
        <v>23</v>
      </c>
      <c r="T6">
        <f t="shared" si="0"/>
        <v>-43.197185495118397</v>
      </c>
    </row>
    <row r="7" spans="1:24" x14ac:dyDescent="0.3">
      <c r="A7">
        <v>6</v>
      </c>
      <c r="B7">
        <v>5</v>
      </c>
      <c r="C7">
        <v>1769509106.5381801</v>
      </c>
      <c r="D7">
        <v>1769509178.0162001</v>
      </c>
      <c r="E7">
        <v>71.478022284122403</v>
      </c>
      <c r="F7">
        <v>1769509049</v>
      </c>
      <c r="G7">
        <v>1769509070</v>
      </c>
      <c r="H7">
        <v>21.108000000000001</v>
      </c>
      <c r="I7">
        <v>50.370022284122399</v>
      </c>
      <c r="J7">
        <v>50.370022284122399</v>
      </c>
      <c r="K7">
        <v>108.80696900348499</v>
      </c>
      <c r="L7">
        <v>108.01620793342499</v>
      </c>
      <c r="M7">
        <v>108.01620793342499</v>
      </c>
      <c r="N7" s="3">
        <v>6.1043035307305397E-6</v>
      </c>
      <c r="O7" s="2">
        <v>46049.429473819444</v>
      </c>
      <c r="P7" s="2">
        <v>46049.430301111111</v>
      </c>
      <c r="Q7" s="1" t="s">
        <v>24</v>
      </c>
      <c r="R7" s="1" t="s">
        <v>25</v>
      </c>
      <c r="T7">
        <f t="shared" si="0"/>
        <v>-50.370022284122399</v>
      </c>
    </row>
    <row r="8" spans="1:24" x14ac:dyDescent="0.3">
      <c r="A8">
        <v>7</v>
      </c>
      <c r="B8">
        <v>4</v>
      </c>
      <c r="C8">
        <v>1769509106.6099899</v>
      </c>
      <c r="D8">
        <v>1769509178.0179601</v>
      </c>
      <c r="E8">
        <v>71.4079666203058</v>
      </c>
      <c r="F8">
        <v>1769509057</v>
      </c>
      <c r="G8">
        <v>1769509168</v>
      </c>
      <c r="H8">
        <v>110.786</v>
      </c>
      <c r="I8">
        <v>-39.378033379694102</v>
      </c>
      <c r="J8">
        <v>39.378033379694102</v>
      </c>
      <c r="K8">
        <v>43.226495487370698</v>
      </c>
      <c r="L8">
        <v>10.017962455749499</v>
      </c>
      <c r="M8">
        <v>10.017962455749499</v>
      </c>
      <c r="N8" s="3">
        <v>5.6614357294991299E-7</v>
      </c>
      <c r="O8" s="2">
        <v>46049.429474652781</v>
      </c>
      <c r="P8" s="2">
        <v>46049.430301134256</v>
      </c>
      <c r="Q8" s="1" t="s">
        <v>19</v>
      </c>
      <c r="R8" s="1" t="s">
        <v>26</v>
      </c>
      <c r="T8">
        <f t="shared" si="0"/>
        <v>39.378033379694202</v>
      </c>
    </row>
    <row r="9" spans="1:24" x14ac:dyDescent="0.3">
      <c r="A9">
        <v>8</v>
      </c>
      <c r="B9">
        <v>3</v>
      </c>
      <c r="C9">
        <v>1769509106.68856</v>
      </c>
      <c r="D9">
        <v>1769509178.1512201</v>
      </c>
      <c r="E9">
        <v>71.462658333333195</v>
      </c>
      <c r="F9">
        <v>1769509057</v>
      </c>
      <c r="G9">
        <v>1769509087</v>
      </c>
      <c r="H9">
        <v>29.294</v>
      </c>
      <c r="I9">
        <v>42.168658333333198</v>
      </c>
      <c r="J9">
        <v>42.168658333333198</v>
      </c>
      <c r="K9">
        <v>83.703963650375599</v>
      </c>
      <c r="L9">
        <v>91.151220560073796</v>
      </c>
      <c r="M9">
        <v>91.151220560073796</v>
      </c>
      <c r="N9" s="3">
        <v>5.1512150393594502E-6</v>
      </c>
      <c r="O9" s="2">
        <v>46049.429475567129</v>
      </c>
      <c r="P9" s="2">
        <v>46049.430302673609</v>
      </c>
      <c r="Q9" s="1" t="s">
        <v>19</v>
      </c>
      <c r="R9" s="1" t="s">
        <v>27</v>
      </c>
      <c r="T9">
        <f t="shared" si="0"/>
        <v>-42.168658333333198</v>
      </c>
    </row>
    <row r="10" spans="1:24" x14ac:dyDescent="0.3">
      <c r="A10">
        <v>9</v>
      </c>
      <c r="B10">
        <v>2</v>
      </c>
      <c r="C10">
        <v>1769509106.75705</v>
      </c>
      <c r="D10">
        <v>1769509178.1612201</v>
      </c>
      <c r="E10">
        <v>71.404171983356306</v>
      </c>
      <c r="F10">
        <v>1769509057</v>
      </c>
      <c r="G10">
        <v>1769509082</v>
      </c>
      <c r="H10">
        <v>25.224</v>
      </c>
      <c r="I10">
        <v>46.180171983356303</v>
      </c>
      <c r="J10">
        <v>46.180171983356303</v>
      </c>
      <c r="K10">
        <v>95.583246656700894</v>
      </c>
      <c r="L10">
        <v>96.1612224578857</v>
      </c>
      <c r="M10">
        <v>96.1612224578857</v>
      </c>
      <c r="N10" s="3">
        <v>5.4343445209296504E-6</v>
      </c>
      <c r="O10" s="2">
        <v>46049.429476354169</v>
      </c>
      <c r="P10" s="2">
        <v>46049.430302789355</v>
      </c>
      <c r="Q10" s="1" t="s">
        <v>19</v>
      </c>
      <c r="R10" s="1" t="s">
        <v>28</v>
      </c>
      <c r="T10">
        <f t="shared" si="0"/>
        <v>-46.180171983356303</v>
      </c>
    </row>
    <row r="11" spans="1:24" x14ac:dyDescent="0.3">
      <c r="A11">
        <v>10</v>
      </c>
      <c r="B11">
        <v>1</v>
      </c>
      <c r="C11">
        <v>1769509106.8262</v>
      </c>
      <c r="D11">
        <v>1769509178.16641</v>
      </c>
      <c r="E11">
        <v>71.340210526315602</v>
      </c>
      <c r="F11">
        <v>1769509066</v>
      </c>
      <c r="G11">
        <v>1769509091</v>
      </c>
      <c r="H11">
        <v>24.843</v>
      </c>
      <c r="I11">
        <v>46.497210526315598</v>
      </c>
      <c r="J11">
        <v>46.497210526315598</v>
      </c>
      <c r="K11">
        <v>96.684671413820197</v>
      </c>
      <c r="L11">
        <v>87.166412353515597</v>
      </c>
      <c r="M11">
        <v>87.166412353515597</v>
      </c>
      <c r="N11" s="3">
        <v>4.9260221747341803E-6</v>
      </c>
      <c r="O11" s="2">
        <v>46049.429477152778</v>
      </c>
      <c r="P11" s="2">
        <v>46049.43030284722</v>
      </c>
      <c r="Q11" s="1" t="s">
        <v>23</v>
      </c>
      <c r="R11" s="1" t="s">
        <v>29</v>
      </c>
      <c r="T11">
        <f t="shared" si="0"/>
        <v>-46.497210526315598</v>
      </c>
    </row>
    <row r="12" spans="1:24" x14ac:dyDescent="0.3">
      <c r="A12">
        <v>11</v>
      </c>
      <c r="B12">
        <v>5</v>
      </c>
      <c r="C12">
        <v>1769509178.0162001</v>
      </c>
      <c r="D12">
        <v>1769509249.2921</v>
      </c>
      <c r="E12">
        <v>71.275899031811704</v>
      </c>
      <c r="F12">
        <v>1769509268</v>
      </c>
      <c r="G12">
        <v>1769509290</v>
      </c>
      <c r="H12">
        <v>22.498000000000001</v>
      </c>
      <c r="I12">
        <v>48.7778990318117</v>
      </c>
      <c r="J12">
        <v>48.7778990318117</v>
      </c>
      <c r="K12">
        <v>104.032997530079</v>
      </c>
      <c r="L12">
        <v>-40.707893133163402</v>
      </c>
      <c r="M12">
        <v>40.707893133163402</v>
      </c>
      <c r="N12" s="3">
        <v>2.3005187840189098E-6</v>
      </c>
      <c r="O12" s="2">
        <v>46049.430301111111</v>
      </c>
      <c r="P12" s="2">
        <v>46049.431126064817</v>
      </c>
      <c r="Q12" s="1" t="s">
        <v>30</v>
      </c>
      <c r="R12" s="1" t="s">
        <v>31</v>
      </c>
      <c r="T12">
        <f t="shared" si="0"/>
        <v>-48.7778990318117</v>
      </c>
    </row>
    <row r="13" spans="1:24" x14ac:dyDescent="0.3">
      <c r="A13">
        <v>12</v>
      </c>
      <c r="B13">
        <v>4</v>
      </c>
      <c r="C13">
        <v>1769509178.0179601</v>
      </c>
      <c r="D13">
        <v>1769509249.22648</v>
      </c>
      <c r="E13">
        <v>71.208526243093701</v>
      </c>
      <c r="F13">
        <v>1769509268</v>
      </c>
      <c r="G13">
        <v>1769509403</v>
      </c>
      <c r="H13">
        <v>135.38999999999999</v>
      </c>
      <c r="I13">
        <v>-64.1814737569062</v>
      </c>
      <c r="J13">
        <v>64.1814737569062</v>
      </c>
      <c r="K13">
        <v>62.131589149273204</v>
      </c>
      <c r="L13">
        <v>-153.77351140975901</v>
      </c>
      <c r="M13">
        <v>153.77351140975901</v>
      </c>
      <c r="N13" s="3">
        <v>8.6901780702973396E-6</v>
      </c>
      <c r="O13" s="2">
        <v>46049.430301134256</v>
      </c>
      <c r="P13" s="2">
        <v>46049.431125300929</v>
      </c>
      <c r="Q13" s="1" t="s">
        <v>30</v>
      </c>
      <c r="R13" s="1" t="s">
        <v>32</v>
      </c>
      <c r="T13">
        <f t="shared" si="0"/>
        <v>64.181473756906286</v>
      </c>
    </row>
    <row r="14" spans="1:24" x14ac:dyDescent="0.3">
      <c r="A14">
        <v>13</v>
      </c>
      <c r="B14">
        <v>3</v>
      </c>
      <c r="C14">
        <v>1769509178.1512201</v>
      </c>
      <c r="D14">
        <v>1769509249.4482701</v>
      </c>
      <c r="E14">
        <v>71.297052413792898</v>
      </c>
      <c r="F14">
        <v>1769509268</v>
      </c>
      <c r="G14">
        <v>1769509285</v>
      </c>
      <c r="H14">
        <v>16.712</v>
      </c>
      <c r="I14">
        <v>54.585052413792901</v>
      </c>
      <c r="J14">
        <v>54.585052413792901</v>
      </c>
      <c r="K14">
        <v>124.04417708567</v>
      </c>
      <c r="L14">
        <v>-35.551727056503204</v>
      </c>
      <c r="M14">
        <v>35.551727056503204</v>
      </c>
      <c r="N14" s="3">
        <v>2.0091291814636199E-6</v>
      </c>
      <c r="O14" s="2">
        <v>46049.430302673609</v>
      </c>
      <c r="P14" s="2">
        <v>46049.431127870368</v>
      </c>
      <c r="Q14" s="1" t="s">
        <v>30</v>
      </c>
      <c r="R14" s="1" t="s">
        <v>33</v>
      </c>
      <c r="T14">
        <f t="shared" si="0"/>
        <v>-54.585052413792894</v>
      </c>
    </row>
    <row r="15" spans="1:24" x14ac:dyDescent="0.3">
      <c r="A15">
        <v>14</v>
      </c>
      <c r="B15">
        <v>2</v>
      </c>
      <c r="C15">
        <v>1769509178.1612201</v>
      </c>
      <c r="D15">
        <v>1769509249.38308</v>
      </c>
      <c r="E15">
        <v>71.221866391184406</v>
      </c>
      <c r="F15">
        <v>1769509269</v>
      </c>
      <c r="G15">
        <v>1769509299</v>
      </c>
      <c r="H15">
        <v>29.536999999999999</v>
      </c>
      <c r="I15">
        <v>41.6848663911844</v>
      </c>
      <c r="J15">
        <v>41.6848663911844</v>
      </c>
      <c r="K15">
        <v>82.741832821635398</v>
      </c>
      <c r="L15">
        <v>-49.6169111728668</v>
      </c>
      <c r="M15">
        <v>49.6169111728668</v>
      </c>
      <c r="N15" s="3">
        <v>2.8039927168811099E-6</v>
      </c>
      <c r="O15" s="2">
        <v>46049.430302789355</v>
      </c>
      <c r="P15" s="2">
        <v>46049.431127118056</v>
      </c>
      <c r="Q15" s="1" t="s">
        <v>34</v>
      </c>
      <c r="R15" s="1" t="s">
        <v>35</v>
      </c>
      <c r="T15">
        <f t="shared" si="0"/>
        <v>-41.684866391184407</v>
      </c>
    </row>
    <row r="16" spans="1:24" x14ac:dyDescent="0.3">
      <c r="A16">
        <v>15</v>
      </c>
      <c r="B16">
        <v>1</v>
      </c>
      <c r="C16">
        <v>1769509178.16641</v>
      </c>
      <c r="D16">
        <v>1769509249.33094</v>
      </c>
      <c r="E16">
        <v>71.164528198074095</v>
      </c>
      <c r="F16">
        <v>1769509269</v>
      </c>
      <c r="G16">
        <v>1769509294</v>
      </c>
      <c r="H16">
        <v>24.538</v>
      </c>
      <c r="I16">
        <v>46.626528198074098</v>
      </c>
      <c r="J16">
        <v>46.626528198074098</v>
      </c>
      <c r="K16">
        <v>97.440535952345698</v>
      </c>
      <c r="L16">
        <v>-44.669059514999297</v>
      </c>
      <c r="M16">
        <v>44.669059514999297</v>
      </c>
      <c r="N16" s="3">
        <v>2.5243755559956202E-6</v>
      </c>
      <c r="O16" s="2">
        <v>46049.43030284722</v>
      </c>
      <c r="P16" s="2">
        <v>46049.431126516203</v>
      </c>
      <c r="Q16" s="1" t="s">
        <v>34</v>
      </c>
      <c r="R16" s="1" t="s">
        <v>36</v>
      </c>
      <c r="T16">
        <f t="shared" si="0"/>
        <v>-46.626528198074098</v>
      </c>
    </row>
    <row r="17" spans="1:20" x14ac:dyDescent="0.3">
      <c r="A17">
        <v>16</v>
      </c>
      <c r="B17">
        <v>4</v>
      </c>
      <c r="C17">
        <v>1769509249.22648</v>
      </c>
      <c r="D17">
        <v>1769509320.3269601</v>
      </c>
      <c r="E17">
        <v>71.1004807692306</v>
      </c>
      <c r="F17">
        <v>1769509284</v>
      </c>
      <c r="G17">
        <v>1769509308</v>
      </c>
      <c r="H17">
        <v>24.097999999999999</v>
      </c>
      <c r="I17">
        <v>47.002480769230601</v>
      </c>
      <c r="J17">
        <v>47.002480769230601</v>
      </c>
      <c r="K17">
        <v>98.746283321828798</v>
      </c>
      <c r="L17">
        <v>12.326969385147001</v>
      </c>
      <c r="M17">
        <v>12.326969385147001</v>
      </c>
      <c r="N17" s="3">
        <v>6.9663207118943702E-7</v>
      </c>
      <c r="O17" s="2">
        <v>46049.431125300929</v>
      </c>
      <c r="P17" s="2">
        <v>46049.431948229168</v>
      </c>
      <c r="Q17" s="1" t="s">
        <v>37</v>
      </c>
      <c r="R17" s="1" t="s">
        <v>38</v>
      </c>
      <c r="T17">
        <f t="shared" si="0"/>
        <v>-47.002480769230601</v>
      </c>
    </row>
    <row r="18" spans="1:20" x14ac:dyDescent="0.3">
      <c r="A18">
        <v>17</v>
      </c>
      <c r="B18">
        <v>5</v>
      </c>
      <c r="C18">
        <v>1769509249.2921</v>
      </c>
      <c r="D18">
        <v>1769509320.32811</v>
      </c>
      <c r="E18">
        <v>71.036005486968307</v>
      </c>
      <c r="F18">
        <v>1769509290</v>
      </c>
      <c r="G18">
        <v>1769509312</v>
      </c>
      <c r="H18">
        <v>22.446000000000002</v>
      </c>
      <c r="I18">
        <v>48.590005486968302</v>
      </c>
      <c r="J18">
        <v>48.590005486968302</v>
      </c>
      <c r="K18">
        <v>103.955847403684</v>
      </c>
      <c r="L18">
        <v>8.3281123638153005</v>
      </c>
      <c r="M18">
        <v>8.3281123638153005</v>
      </c>
      <c r="N18" s="3">
        <v>4.7064529628298199E-7</v>
      </c>
      <c r="O18" s="2">
        <v>46049.431126064817</v>
      </c>
      <c r="P18" s="2">
        <v>46049.431948240737</v>
      </c>
      <c r="Q18" s="1" t="s">
        <v>31</v>
      </c>
      <c r="R18" s="1" t="s">
        <v>39</v>
      </c>
      <c r="T18">
        <f t="shared" si="0"/>
        <v>-48.590005486968309</v>
      </c>
    </row>
    <row r="19" spans="1:20" x14ac:dyDescent="0.3">
      <c r="A19">
        <v>18</v>
      </c>
      <c r="B19">
        <v>1</v>
      </c>
      <c r="C19">
        <v>1769509249.33094</v>
      </c>
      <c r="D19">
        <v>1769509320.30038</v>
      </c>
      <c r="E19">
        <v>70.969443835616204</v>
      </c>
      <c r="F19">
        <v>1769509294</v>
      </c>
      <c r="G19">
        <v>1769509315</v>
      </c>
      <c r="H19">
        <v>21.004000000000001</v>
      </c>
      <c r="I19">
        <v>49.965443835616199</v>
      </c>
      <c r="J19">
        <v>49.965443835616199</v>
      </c>
      <c r="K19">
        <v>108.65189287664199</v>
      </c>
      <c r="L19">
        <v>5.3003842830657897</v>
      </c>
      <c r="M19">
        <v>5.3003842830657897</v>
      </c>
      <c r="N19" s="3">
        <v>2.9953977807273698E-7</v>
      </c>
      <c r="O19" s="2">
        <v>46049.431126516203</v>
      </c>
      <c r="P19" s="2">
        <v>46049.431947916666</v>
      </c>
      <c r="Q19" s="1" t="s">
        <v>36</v>
      </c>
      <c r="R19" s="1" t="s">
        <v>40</v>
      </c>
      <c r="T19">
        <f t="shared" si="0"/>
        <v>-49.965443835616199</v>
      </c>
    </row>
    <row r="20" spans="1:20" x14ac:dyDescent="0.3">
      <c r="A20">
        <v>19</v>
      </c>
      <c r="B20">
        <v>2</v>
      </c>
      <c r="C20">
        <v>1769509249.38308</v>
      </c>
      <c r="D20">
        <v>1769509320.2841799</v>
      </c>
      <c r="E20">
        <v>70.901091655266598</v>
      </c>
      <c r="F20">
        <v>1769509299</v>
      </c>
      <c r="G20">
        <v>1769509329</v>
      </c>
      <c r="H20">
        <v>30.536999999999999</v>
      </c>
      <c r="I20">
        <v>40.364091655266598</v>
      </c>
      <c r="J20">
        <v>40.364091655266598</v>
      </c>
      <c r="K20">
        <v>79.583696807787703</v>
      </c>
      <c r="L20">
        <v>-8.7158195972442591</v>
      </c>
      <c r="M20">
        <v>8.7158195972442591</v>
      </c>
      <c r="N20" s="3">
        <v>4.9255573146002802E-7</v>
      </c>
      <c r="O20" s="2">
        <v>46049.431127118056</v>
      </c>
      <c r="P20" s="2">
        <v>46049.431947731478</v>
      </c>
      <c r="Q20" s="1" t="s">
        <v>35</v>
      </c>
      <c r="R20" s="1" t="s">
        <v>41</v>
      </c>
      <c r="T20">
        <f t="shared" si="0"/>
        <v>-40.364091655266598</v>
      </c>
    </row>
    <row r="21" spans="1:20" x14ac:dyDescent="0.3">
      <c r="A21">
        <v>20</v>
      </c>
      <c r="B21">
        <v>3</v>
      </c>
      <c r="C21">
        <v>1769509249.4482701</v>
      </c>
      <c r="D21">
        <v>1769509320.29422</v>
      </c>
      <c r="E21">
        <v>70.845949453551697</v>
      </c>
      <c r="F21">
        <v>1769509308</v>
      </c>
      <c r="G21">
        <v>1769509335</v>
      </c>
      <c r="H21">
        <v>27.657</v>
      </c>
      <c r="I21">
        <v>43.1889494535517</v>
      </c>
      <c r="J21">
        <v>43.1889494535517</v>
      </c>
      <c r="K21">
        <v>87.6906726004527</v>
      </c>
      <c r="L21">
        <v>-14.705777645111</v>
      </c>
      <c r="M21">
        <v>14.705777645111</v>
      </c>
      <c r="N21" s="3">
        <v>8.3106527981206596E-7</v>
      </c>
      <c r="O21" s="2">
        <v>46049.431127870368</v>
      </c>
      <c r="P21" s="2">
        <v>46049.431947847224</v>
      </c>
      <c r="Q21" s="1" t="s">
        <v>38</v>
      </c>
      <c r="R21" s="1" t="s">
        <v>42</v>
      </c>
      <c r="T21">
        <f t="shared" si="0"/>
        <v>-43.1889494535517</v>
      </c>
    </row>
    <row r="22" spans="1:20" x14ac:dyDescent="0.3">
      <c r="A22">
        <v>21</v>
      </c>
      <c r="B22">
        <v>2</v>
      </c>
      <c r="C22">
        <v>1769509320.2841799</v>
      </c>
      <c r="D22">
        <v>1769509381.67222</v>
      </c>
      <c r="E22">
        <v>58.388041407867398</v>
      </c>
      <c r="F22">
        <v>1769509495</v>
      </c>
      <c r="G22">
        <v>1769509558</v>
      </c>
      <c r="H22">
        <v>63.561</v>
      </c>
      <c r="I22">
        <v>-2.17295859213257</v>
      </c>
      <c r="J22">
        <v>2.17295859213257</v>
      </c>
      <c r="K22">
        <v>3.4781516811152602</v>
      </c>
      <c r="L22">
        <v>-176.32777810096701</v>
      </c>
      <c r="M22">
        <v>176.32777810096701</v>
      </c>
      <c r="N22" s="3">
        <v>9.9647829585957794E-6</v>
      </c>
      <c r="O22" s="2">
        <v>46049.431947731478</v>
      </c>
      <c r="P22" s="2">
        <v>46049.432658240738</v>
      </c>
      <c r="Q22" s="1" t="s">
        <v>43</v>
      </c>
      <c r="R22" s="1" t="s">
        <v>44</v>
      </c>
      <c r="T22">
        <f t="shared" si="0"/>
        <v>5.172958592132602</v>
      </c>
    </row>
    <row r="23" spans="1:20" x14ac:dyDescent="0.3">
      <c r="A23">
        <v>22</v>
      </c>
      <c r="B23">
        <v>3</v>
      </c>
      <c r="C23">
        <v>1769509320.29422</v>
      </c>
      <c r="D23">
        <v>1769509381.6867499</v>
      </c>
      <c r="E23">
        <v>58.392530991735399</v>
      </c>
      <c r="F23">
        <v>1769509495</v>
      </c>
      <c r="G23">
        <v>1769509563</v>
      </c>
      <c r="H23">
        <v>67.817999999999998</v>
      </c>
      <c r="I23">
        <v>-6.4254690082645203</v>
      </c>
      <c r="J23">
        <v>6.4254690082645203</v>
      </c>
      <c r="K23">
        <v>9.9457357832164792</v>
      </c>
      <c r="L23">
        <v>-181.31324672698901</v>
      </c>
      <c r="M23">
        <v>181.31324672698901</v>
      </c>
      <c r="N23" s="3">
        <v>1.02465259192354E-5</v>
      </c>
      <c r="O23" s="2">
        <v>46049.431947847224</v>
      </c>
      <c r="P23" s="2">
        <v>46049.432658414349</v>
      </c>
      <c r="Q23" s="1" t="s">
        <v>43</v>
      </c>
      <c r="R23" s="1" t="s">
        <v>45</v>
      </c>
      <c r="T23">
        <f t="shared" si="0"/>
        <v>9.4254690082645993</v>
      </c>
    </row>
    <row r="24" spans="1:20" x14ac:dyDescent="0.3">
      <c r="A24">
        <v>23</v>
      </c>
      <c r="B24">
        <v>1</v>
      </c>
      <c r="C24">
        <v>1769509320.30038</v>
      </c>
      <c r="D24">
        <v>1769509381.7061601</v>
      </c>
      <c r="E24">
        <v>58.405779381443203</v>
      </c>
      <c r="F24">
        <v>1769509495</v>
      </c>
      <c r="G24">
        <v>1769509566</v>
      </c>
      <c r="H24">
        <v>70.855999999999995</v>
      </c>
      <c r="I24">
        <v>-9.4502206185567594</v>
      </c>
      <c r="J24">
        <v>9.4502206185567594</v>
      </c>
      <c r="K24">
        <v>14.2901761381907</v>
      </c>
      <c r="L24">
        <v>-184.29383635520901</v>
      </c>
      <c r="M24">
        <v>184.29383635520901</v>
      </c>
      <c r="N24" s="3">
        <v>1.04149674855321E-5</v>
      </c>
      <c r="O24" s="2">
        <v>46049.431947916666</v>
      </c>
      <c r="P24" s="2">
        <v>46049.432658634258</v>
      </c>
      <c r="Q24" s="1" t="s">
        <v>43</v>
      </c>
      <c r="R24" s="1" t="s">
        <v>46</v>
      </c>
      <c r="T24">
        <f t="shared" si="0"/>
        <v>12.450220618556791</v>
      </c>
    </row>
    <row r="25" spans="1:20" x14ac:dyDescent="0.3">
      <c r="A25">
        <v>24</v>
      </c>
      <c r="B25">
        <v>4</v>
      </c>
      <c r="C25">
        <v>1769509320.3269601</v>
      </c>
      <c r="D25">
        <v>1769509381.7521901</v>
      </c>
      <c r="E25">
        <v>58.425224279835298</v>
      </c>
      <c r="F25">
        <v>1769509496</v>
      </c>
      <c r="G25">
        <v>1769509554</v>
      </c>
      <c r="H25">
        <v>57.874000000000002</v>
      </c>
      <c r="I25">
        <v>3.5512242798353202</v>
      </c>
      <c r="J25">
        <v>3.5512242798353202</v>
      </c>
      <c r="K25">
        <v>5.9534742179133699</v>
      </c>
      <c r="L25">
        <v>-172.247806310653</v>
      </c>
      <c r="M25">
        <v>172.247806310653</v>
      </c>
      <c r="N25" s="3">
        <v>9.7342121891779904E-6</v>
      </c>
      <c r="O25" s="2">
        <v>46049.431948229168</v>
      </c>
      <c r="P25" s="2">
        <v>46049.432659166669</v>
      </c>
      <c r="Q25" s="1" t="s">
        <v>47</v>
      </c>
      <c r="R25" s="1" t="s">
        <v>48</v>
      </c>
      <c r="T25">
        <f t="shared" si="0"/>
        <v>-0.55122427983529576</v>
      </c>
    </row>
    <row r="26" spans="1:20" x14ac:dyDescent="0.3">
      <c r="A26">
        <v>25</v>
      </c>
      <c r="B26">
        <v>5</v>
      </c>
      <c r="C26">
        <v>1769509320.32811</v>
      </c>
      <c r="D26">
        <v>1769509381.7460401</v>
      </c>
      <c r="E26">
        <v>58.417932238192897</v>
      </c>
      <c r="F26">
        <v>1769509497</v>
      </c>
      <c r="G26">
        <v>1769509558</v>
      </c>
      <c r="H26">
        <v>61.195</v>
      </c>
      <c r="I26">
        <v>0.22293223819295299</v>
      </c>
      <c r="J26">
        <v>0.22293223819295299</v>
      </c>
      <c r="K26">
        <v>0.36363576683718102</v>
      </c>
      <c r="L26">
        <v>-176.25395536422701</v>
      </c>
      <c r="M26">
        <v>176.25395536422701</v>
      </c>
      <c r="N26" s="3">
        <v>9.9606110261096797E-6</v>
      </c>
      <c r="O26" s="2">
        <v>46049.431948240737</v>
      </c>
      <c r="P26" s="2">
        <v>46049.43265909722</v>
      </c>
      <c r="Q26" s="1" t="s">
        <v>49</v>
      </c>
      <c r="R26" s="1" t="s">
        <v>44</v>
      </c>
      <c r="T26">
        <f t="shared" si="0"/>
        <v>2.7770677618071034</v>
      </c>
    </row>
    <row r="27" spans="1:20" x14ac:dyDescent="0.3">
      <c r="A27">
        <v>26</v>
      </c>
      <c r="B27">
        <v>2</v>
      </c>
      <c r="C27">
        <v>1769509381.67222</v>
      </c>
      <c r="D27">
        <v>1769509443.08969</v>
      </c>
      <c r="E27">
        <v>58.417475409836001</v>
      </c>
      <c r="F27">
        <v>1769509554</v>
      </c>
      <c r="G27">
        <v>1769509610</v>
      </c>
      <c r="H27">
        <v>56.151000000000003</v>
      </c>
      <c r="I27">
        <v>5.2664754098359898</v>
      </c>
      <c r="J27">
        <v>5.2664754098359898</v>
      </c>
      <c r="K27">
        <v>8.9589924364969598</v>
      </c>
      <c r="L27">
        <v>-166.910302639007</v>
      </c>
      <c r="M27">
        <v>166.910302639007</v>
      </c>
      <c r="N27" s="3">
        <v>9.4325744018410096E-6</v>
      </c>
      <c r="O27" s="2">
        <v>46049.432658240738</v>
      </c>
      <c r="P27" s="2">
        <v>46049.43336909722</v>
      </c>
      <c r="Q27" s="1" t="s">
        <v>48</v>
      </c>
      <c r="R27" s="1" t="s">
        <v>50</v>
      </c>
      <c r="T27">
        <f t="shared" si="0"/>
        <v>-2.2664754098359978</v>
      </c>
    </row>
    <row r="28" spans="1:20" x14ac:dyDescent="0.3">
      <c r="A28">
        <v>27</v>
      </c>
      <c r="B28">
        <v>3</v>
      </c>
      <c r="C28">
        <v>1769509381.6867499</v>
      </c>
      <c r="D28">
        <v>1769509443.0934501</v>
      </c>
      <c r="E28">
        <v>58.406705521472297</v>
      </c>
      <c r="F28">
        <v>1769509558</v>
      </c>
      <c r="G28">
        <v>1769509616</v>
      </c>
      <c r="H28">
        <v>57.597000000000001</v>
      </c>
      <c r="I28">
        <v>3.8097055214723201</v>
      </c>
      <c r="J28">
        <v>3.8097055214723201</v>
      </c>
      <c r="K28">
        <v>6.4026670510439203</v>
      </c>
      <c r="L28">
        <v>-172.906541109085</v>
      </c>
      <c r="M28">
        <v>172.906541109085</v>
      </c>
      <c r="N28" s="3">
        <v>9.7714388208678403E-6</v>
      </c>
      <c r="O28" s="2">
        <v>46049.432658414349</v>
      </c>
      <c r="P28" s="2">
        <v>46049.433369131948</v>
      </c>
      <c r="Q28" s="1" t="s">
        <v>44</v>
      </c>
      <c r="R28" s="1" t="s">
        <v>51</v>
      </c>
      <c r="T28">
        <f t="shared" si="0"/>
        <v>-0.80970552147229569</v>
      </c>
    </row>
    <row r="29" spans="1:20" x14ac:dyDescent="0.3">
      <c r="A29">
        <v>28</v>
      </c>
      <c r="B29">
        <v>1</v>
      </c>
      <c r="C29">
        <v>1769509381.7061601</v>
      </c>
      <c r="D29">
        <v>1769509443.1050899</v>
      </c>
      <c r="E29">
        <v>58.398930612244797</v>
      </c>
      <c r="F29">
        <v>1769509558</v>
      </c>
      <c r="G29">
        <v>1769509619</v>
      </c>
      <c r="H29">
        <v>61.561</v>
      </c>
      <c r="I29">
        <v>-0.16206938775516699</v>
      </c>
      <c r="J29">
        <v>0.16206938775516699</v>
      </c>
      <c r="K29">
        <v>0.26361333639046097</v>
      </c>
      <c r="L29">
        <v>-175.894905805587</v>
      </c>
      <c r="M29">
        <v>175.894905805587</v>
      </c>
      <c r="N29" s="3">
        <v>9.9403197732967902E-6</v>
      </c>
      <c r="O29" s="2">
        <v>46049.432658634258</v>
      </c>
      <c r="P29" s="2">
        <v>46049.433369270831</v>
      </c>
      <c r="Q29" s="1" t="s">
        <v>44</v>
      </c>
      <c r="R29" s="1" t="s">
        <v>52</v>
      </c>
      <c r="T29">
        <f t="shared" si="0"/>
        <v>3.1620693877552029</v>
      </c>
    </row>
    <row r="30" spans="1:20" x14ac:dyDescent="0.3">
      <c r="A30">
        <v>29</v>
      </c>
      <c r="B30">
        <v>5</v>
      </c>
      <c r="C30">
        <v>1769509381.7460401</v>
      </c>
      <c r="D30">
        <v>1769509443.1452999</v>
      </c>
      <c r="E30">
        <v>58.399260692464203</v>
      </c>
      <c r="F30">
        <v>1769509563</v>
      </c>
      <c r="G30">
        <v>1769509623</v>
      </c>
      <c r="H30">
        <v>59.945</v>
      </c>
      <c r="I30">
        <v>1.45426069246429</v>
      </c>
      <c r="J30">
        <v>1.45426069246429</v>
      </c>
      <c r="K30">
        <v>2.3969171416355302</v>
      </c>
      <c r="L30">
        <v>-179.854694604873</v>
      </c>
      <c r="M30">
        <v>179.854694604873</v>
      </c>
      <c r="N30" s="3">
        <v>1.01640986523856E-5</v>
      </c>
      <c r="O30" s="2">
        <v>46049.43265909722</v>
      </c>
      <c r="P30" s="2">
        <v>46049.433369733793</v>
      </c>
      <c r="Q30" s="1" t="s">
        <v>45</v>
      </c>
      <c r="R30" s="1" t="s">
        <v>53</v>
      </c>
      <c r="T30">
        <f t="shared" si="0"/>
        <v>1.545739307535797</v>
      </c>
    </row>
    <row r="31" spans="1:20" x14ac:dyDescent="0.3">
      <c r="A31">
        <v>30</v>
      </c>
      <c r="B31">
        <v>4</v>
      </c>
      <c r="C31">
        <v>1769509381.7521901</v>
      </c>
      <c r="D31">
        <v>1769509443.14849</v>
      </c>
      <c r="E31">
        <v>58.396304878048703</v>
      </c>
      <c r="F31">
        <v>1769509566</v>
      </c>
      <c r="G31">
        <v>1769509623</v>
      </c>
      <c r="H31">
        <v>57.597000000000001</v>
      </c>
      <c r="I31">
        <v>3.79930487804871</v>
      </c>
      <c r="J31">
        <v>3.79930487804871</v>
      </c>
      <c r="K31">
        <v>6.3857456214741903</v>
      </c>
      <c r="L31">
        <v>-179.85150146484301</v>
      </c>
      <c r="M31">
        <v>179.85150146484301</v>
      </c>
      <c r="N31" s="3">
        <v>1.0163918198981301E-5</v>
      </c>
      <c r="O31" s="2">
        <v>46049.432659166669</v>
      </c>
      <c r="P31" s="2">
        <v>46049.433369768522</v>
      </c>
      <c r="Q31" s="1" t="s">
        <v>46</v>
      </c>
      <c r="R31" s="1" t="s">
        <v>53</v>
      </c>
      <c r="T31">
        <f t="shared" si="0"/>
        <v>-0.79930487804870154</v>
      </c>
    </row>
    <row r="32" spans="1:20" x14ac:dyDescent="0.3">
      <c r="A32">
        <v>31</v>
      </c>
      <c r="B32">
        <v>2</v>
      </c>
      <c r="C32">
        <v>1769509443.08969</v>
      </c>
      <c r="D32">
        <v>1769509504.4782901</v>
      </c>
      <c r="E32">
        <v>58.388598377281802</v>
      </c>
      <c r="F32">
        <v>1769509610</v>
      </c>
      <c r="G32">
        <v>1769509668</v>
      </c>
      <c r="H32">
        <v>57.92</v>
      </c>
      <c r="I32">
        <v>3.46859837728188</v>
      </c>
      <c r="J32">
        <v>3.46859837728188</v>
      </c>
      <c r="K32">
        <v>5.8144985767301698</v>
      </c>
      <c r="L32">
        <v>-163.52170419692899</v>
      </c>
      <c r="M32">
        <v>163.52170419692899</v>
      </c>
      <c r="N32" s="3">
        <v>9.2410747852727402E-6</v>
      </c>
      <c r="O32" s="2">
        <v>46049.43336909722</v>
      </c>
      <c r="P32" s="2">
        <v>46049.434079606479</v>
      </c>
      <c r="Q32" s="1" t="s">
        <v>50</v>
      </c>
      <c r="R32" s="1" t="s">
        <v>54</v>
      </c>
      <c r="T32">
        <f t="shared" si="0"/>
        <v>-0.46859837728180054</v>
      </c>
    </row>
    <row r="33" spans="1:20" x14ac:dyDescent="0.3">
      <c r="A33">
        <v>32</v>
      </c>
      <c r="B33">
        <v>3</v>
      </c>
      <c r="C33">
        <v>1769509443.0934501</v>
      </c>
      <c r="D33">
        <v>1769509504.4750299</v>
      </c>
      <c r="E33">
        <v>58.3815769230768</v>
      </c>
      <c r="F33">
        <v>1769509616</v>
      </c>
      <c r="G33">
        <v>1769509675</v>
      </c>
      <c r="H33">
        <v>59.2</v>
      </c>
      <c r="I33">
        <v>2.18157692307686</v>
      </c>
      <c r="J33">
        <v>2.18157692307686</v>
      </c>
      <c r="K33">
        <v>3.6184249347950699</v>
      </c>
      <c r="L33">
        <v>-170.52496409416199</v>
      </c>
      <c r="M33">
        <v>170.52496409416199</v>
      </c>
      <c r="N33" s="3">
        <v>9.6368488242811293E-6</v>
      </c>
      <c r="O33" s="2">
        <v>46049.433369131948</v>
      </c>
      <c r="P33" s="2">
        <v>46049.434079571758</v>
      </c>
      <c r="Q33" s="1" t="s">
        <v>51</v>
      </c>
      <c r="R33" s="1" t="s">
        <v>55</v>
      </c>
      <c r="T33">
        <f t="shared" si="0"/>
        <v>0.81842307692320304</v>
      </c>
    </row>
    <row r="34" spans="1:20" x14ac:dyDescent="0.3">
      <c r="A34">
        <v>33</v>
      </c>
      <c r="B34">
        <v>1</v>
      </c>
      <c r="C34">
        <v>1769509443.1050899</v>
      </c>
      <c r="D34">
        <v>1769509504.48226</v>
      </c>
      <c r="E34">
        <v>58.377169696969602</v>
      </c>
      <c r="F34">
        <v>1769509619</v>
      </c>
      <c r="G34">
        <v>1769509677</v>
      </c>
      <c r="H34">
        <v>58.26</v>
      </c>
      <c r="I34">
        <v>3.1171696969696399</v>
      </c>
      <c r="J34">
        <v>3.1171696969696399</v>
      </c>
      <c r="K34">
        <v>5.2110388516631598</v>
      </c>
      <c r="L34">
        <v>-172.51773619651701</v>
      </c>
      <c r="M34">
        <v>172.51773619651701</v>
      </c>
      <c r="N34" s="3">
        <v>9.7494660158502708E-6</v>
      </c>
      <c r="O34" s="2">
        <v>46049.433369270831</v>
      </c>
      <c r="P34" s="2">
        <v>46049.434079652776</v>
      </c>
      <c r="Q34" s="1" t="s">
        <v>52</v>
      </c>
      <c r="R34" s="1" t="s">
        <v>56</v>
      </c>
      <c r="T34">
        <f t="shared" si="0"/>
        <v>-0.11716969696960433</v>
      </c>
    </row>
    <row r="35" spans="1:20" x14ac:dyDescent="0.3">
      <c r="A35">
        <v>34</v>
      </c>
      <c r="B35">
        <v>5</v>
      </c>
      <c r="C35">
        <v>1769509443.1452999</v>
      </c>
      <c r="D35">
        <v>1769509504.5161901</v>
      </c>
      <c r="E35">
        <v>58.370885080645103</v>
      </c>
      <c r="F35">
        <v>1769509623</v>
      </c>
      <c r="G35">
        <v>1769509686</v>
      </c>
      <c r="H35">
        <v>62.625</v>
      </c>
      <c r="I35">
        <v>-1.2541149193548899</v>
      </c>
      <c r="J35">
        <v>1.2541149193548899</v>
      </c>
      <c r="K35">
        <v>2.0228331263400201</v>
      </c>
      <c r="L35">
        <v>-181.48380947113</v>
      </c>
      <c r="M35">
        <v>181.48380947113</v>
      </c>
      <c r="N35" s="3">
        <v>1.0256164191336799E-5</v>
      </c>
      <c r="O35" s="2">
        <v>46049.433369733793</v>
      </c>
      <c r="P35" s="2">
        <v>46049.434080046296</v>
      </c>
      <c r="Q35" s="1" t="s">
        <v>53</v>
      </c>
      <c r="R35" s="1" t="s">
        <v>57</v>
      </c>
      <c r="T35">
        <f t="shared" si="0"/>
        <v>4.2541149193548975</v>
      </c>
    </row>
    <row r="36" spans="1:20" x14ac:dyDescent="0.3">
      <c r="A36">
        <v>35</v>
      </c>
      <c r="B36">
        <v>4</v>
      </c>
      <c r="C36">
        <v>1769509443.14849</v>
      </c>
      <c r="D36">
        <v>1769509504.5218999</v>
      </c>
      <c r="E36">
        <v>58.373408450704098</v>
      </c>
      <c r="F36">
        <v>1769509623</v>
      </c>
      <c r="G36">
        <v>1769509678</v>
      </c>
      <c r="H36">
        <v>54.713999999999999</v>
      </c>
      <c r="I36">
        <v>6.65940845070417</v>
      </c>
      <c r="J36">
        <v>6.65940845070417</v>
      </c>
      <c r="K36">
        <v>11.4730934897767</v>
      </c>
      <c r="L36">
        <v>-173.478092908859</v>
      </c>
      <c r="M36">
        <v>173.478092908859</v>
      </c>
      <c r="N36" s="3">
        <v>9.8037384914787903E-6</v>
      </c>
      <c r="O36" s="2">
        <v>46049.433369768522</v>
      </c>
      <c r="P36" s="2">
        <v>46049.434080115738</v>
      </c>
      <c r="Q36" s="1" t="s">
        <v>53</v>
      </c>
      <c r="R36" s="1" t="s">
        <v>58</v>
      </c>
      <c r="T36">
        <f t="shared" si="0"/>
        <v>-3.6594084507040989</v>
      </c>
    </row>
    <row r="37" spans="1:20" x14ac:dyDescent="0.3">
      <c r="A37">
        <v>36</v>
      </c>
      <c r="B37">
        <v>3</v>
      </c>
      <c r="C37">
        <v>1769509504.4750299</v>
      </c>
      <c r="D37">
        <v>1769509565.8350699</v>
      </c>
      <c r="E37">
        <v>58.360036144578203</v>
      </c>
      <c r="F37">
        <v>1769509668</v>
      </c>
      <c r="G37">
        <v>1769509728</v>
      </c>
      <c r="H37">
        <v>60.274999999999999</v>
      </c>
      <c r="I37">
        <v>1.0850361445782599</v>
      </c>
      <c r="J37">
        <v>1.0850361445782599</v>
      </c>
      <c r="K37">
        <v>1.7840848804263201</v>
      </c>
      <c r="L37">
        <v>-162.164927959442</v>
      </c>
      <c r="M37">
        <v>162.164927959442</v>
      </c>
      <c r="N37" s="3">
        <v>9.1643992018880097E-6</v>
      </c>
      <c r="O37" s="2">
        <v>46049.434079571758</v>
      </c>
      <c r="P37" s="2">
        <v>46049.434789756946</v>
      </c>
      <c r="Q37" s="1" t="s">
        <v>54</v>
      </c>
      <c r="R37" s="1" t="s">
        <v>59</v>
      </c>
      <c r="T37">
        <f t="shared" si="0"/>
        <v>1.9149638554217958</v>
      </c>
    </row>
    <row r="38" spans="1:20" x14ac:dyDescent="0.3">
      <c r="A38">
        <v>37</v>
      </c>
      <c r="B38">
        <v>2</v>
      </c>
      <c r="C38">
        <v>1769509504.4782901</v>
      </c>
      <c r="D38">
        <v>1769509565.8361499</v>
      </c>
      <c r="E38">
        <v>58.357861723446803</v>
      </c>
      <c r="F38">
        <v>1769509675</v>
      </c>
      <c r="G38">
        <v>1769509737</v>
      </c>
      <c r="H38">
        <v>61.646000000000001</v>
      </c>
      <c r="I38">
        <v>-0.28813827655316199</v>
      </c>
      <c r="J38">
        <v>0.28813827655316199</v>
      </c>
      <c r="K38">
        <v>0.46850281367749602</v>
      </c>
      <c r="L38">
        <v>-171.16384243965101</v>
      </c>
      <c r="M38">
        <v>171.16384243965101</v>
      </c>
      <c r="N38" s="3">
        <v>9.6729533123756206E-6</v>
      </c>
      <c r="O38" s="2">
        <v>46049.434079606479</v>
      </c>
      <c r="P38" s="2">
        <v>46049.434789768522</v>
      </c>
      <c r="Q38" s="1" t="s">
        <v>55</v>
      </c>
      <c r="R38" s="1" t="s">
        <v>60</v>
      </c>
      <c r="T38">
        <f>H38-E38</f>
        <v>3.2881382765531981</v>
      </c>
    </row>
    <row r="39" spans="1:20" x14ac:dyDescent="0.3">
      <c r="A39">
        <v>38</v>
      </c>
      <c r="B39">
        <v>1</v>
      </c>
      <c r="C39">
        <v>1769509504.48226</v>
      </c>
      <c r="D39">
        <v>1769509565.8406999</v>
      </c>
      <c r="E39">
        <v>58.3584379999999</v>
      </c>
      <c r="F39">
        <v>1769509677</v>
      </c>
      <c r="G39">
        <v>1769509737</v>
      </c>
      <c r="H39">
        <v>59.323</v>
      </c>
      <c r="I39">
        <v>2.0354379999999401</v>
      </c>
      <c r="J39">
        <v>2.0354379999999401</v>
      </c>
      <c r="K39">
        <v>3.37324121046675</v>
      </c>
      <c r="L39">
        <v>-171.15929818153299</v>
      </c>
      <c r="M39">
        <v>171.15929818153299</v>
      </c>
      <c r="N39" s="3">
        <v>9.6726965034718798E-6</v>
      </c>
      <c r="O39" s="2">
        <v>46049.434079652776</v>
      </c>
      <c r="P39" s="2">
        <v>46049.434789826388</v>
      </c>
      <c r="Q39" s="1" t="s">
        <v>56</v>
      </c>
      <c r="R39" s="1" t="s">
        <v>60</v>
      </c>
      <c r="T39">
        <f>H39-E39</f>
        <v>0.96456200000010028</v>
      </c>
    </row>
    <row r="40" spans="1:20" x14ac:dyDescent="0.3">
      <c r="A40">
        <v>39</v>
      </c>
      <c r="B40">
        <v>5</v>
      </c>
      <c r="C40">
        <v>1769509504.5161901</v>
      </c>
      <c r="D40">
        <v>1769509565.8705599</v>
      </c>
      <c r="E40">
        <v>58.354375249500897</v>
      </c>
      <c r="F40">
        <v>1769509678</v>
      </c>
      <c r="G40">
        <v>1769509733</v>
      </c>
      <c r="H40">
        <v>55.411999999999999</v>
      </c>
      <c r="I40">
        <v>5.9423752495009401</v>
      </c>
      <c r="J40">
        <v>5.9423752495009401</v>
      </c>
      <c r="K40">
        <v>10.178230225616799</v>
      </c>
      <c r="L40">
        <v>-167.12943410873399</v>
      </c>
      <c r="M40">
        <v>167.12943410873399</v>
      </c>
      <c r="N40" s="3">
        <v>9.4449574865031896E-6</v>
      </c>
      <c r="O40" s="2">
        <v>46049.434080046296</v>
      </c>
      <c r="P40" s="2">
        <v>46049.434790173611</v>
      </c>
      <c r="Q40" s="1" t="s">
        <v>58</v>
      </c>
      <c r="R40" s="1" t="s">
        <v>61</v>
      </c>
      <c r="T40">
        <f>H40-E40</f>
        <v>-2.9423752495008983</v>
      </c>
    </row>
    <row r="41" spans="1:20" x14ac:dyDescent="0.3">
      <c r="A41">
        <v>40</v>
      </c>
      <c r="B41">
        <v>4</v>
      </c>
      <c r="C41">
        <v>1769509504.5218999</v>
      </c>
      <c r="D41">
        <v>1769509565.86444</v>
      </c>
      <c r="E41">
        <v>58.342537848605502</v>
      </c>
      <c r="F41">
        <v>1769509686</v>
      </c>
      <c r="G41">
        <v>1769509745</v>
      </c>
      <c r="H41">
        <v>59.893000000000001</v>
      </c>
      <c r="I41">
        <v>1.4495378486055099</v>
      </c>
      <c r="J41">
        <v>1.4495378486055099</v>
      </c>
      <c r="K41">
        <v>2.39127548626153</v>
      </c>
      <c r="L41">
        <v>-179.13555502891501</v>
      </c>
      <c r="M41">
        <v>179.13555502891501</v>
      </c>
      <c r="N41" s="3">
        <v>1.0123457336273099E-5</v>
      </c>
      <c r="O41" s="2">
        <v>46049.434080115738</v>
      </c>
      <c r="P41" s="2">
        <v>46049.434790092593</v>
      </c>
      <c r="Q41" s="1" t="s">
        <v>57</v>
      </c>
      <c r="R41" s="1" t="s">
        <v>62</v>
      </c>
      <c r="T41">
        <f>H41-E41</f>
        <v>1.5504621513944983</v>
      </c>
    </row>
    <row r="42" spans="1:20" x14ac:dyDescent="0.3">
      <c r="A42">
        <v>41</v>
      </c>
      <c r="B42">
        <v>3</v>
      </c>
      <c r="C42">
        <v>1769509565.8350699</v>
      </c>
      <c r="D42">
        <v>1769509627.17472</v>
      </c>
      <c r="E42">
        <v>58.3396560636182</v>
      </c>
      <c r="F42">
        <v>1769509728</v>
      </c>
      <c r="G42">
        <v>1769509785</v>
      </c>
      <c r="H42">
        <v>56.9</v>
      </c>
      <c r="I42">
        <v>4.4396560636182301</v>
      </c>
      <c r="J42">
        <v>4.4396560636182301</v>
      </c>
      <c r="K42">
        <v>7.5095889339013198</v>
      </c>
      <c r="L42">
        <v>-157.82527184486301</v>
      </c>
      <c r="M42">
        <v>157.82527184486301</v>
      </c>
      <c r="N42" s="3">
        <v>8.9191526501336805E-6</v>
      </c>
      <c r="O42" s="2">
        <v>46049.434789756946</v>
      </c>
      <c r="P42" s="2">
        <v>46049.435499710649</v>
      </c>
      <c r="Q42" s="1" t="s">
        <v>59</v>
      </c>
      <c r="R42" s="1" t="s">
        <v>63</v>
      </c>
      <c r="T42">
        <f>H42-E42</f>
        <v>-1.4396560636182016</v>
      </c>
    </row>
    <row r="43" spans="1:20" x14ac:dyDescent="0.3">
      <c r="A43">
        <v>42</v>
      </c>
      <c r="B43">
        <v>2</v>
      </c>
      <c r="C43">
        <v>1769509565.8361499</v>
      </c>
      <c r="D43">
        <v>1769509627.1670001</v>
      </c>
      <c r="E43">
        <v>58.330847222222097</v>
      </c>
      <c r="F43">
        <v>1769509733</v>
      </c>
      <c r="G43">
        <v>1769509794</v>
      </c>
      <c r="H43">
        <v>60.628</v>
      </c>
      <c r="I43">
        <v>0.70284722222216001</v>
      </c>
      <c r="J43">
        <v>0.70284722222216001</v>
      </c>
      <c r="K43">
        <v>1.15259735268159</v>
      </c>
      <c r="L43">
        <v>-166.83299517631499</v>
      </c>
      <c r="M43">
        <v>166.83299517631499</v>
      </c>
      <c r="N43" s="3">
        <v>9.4282045573686907E-6</v>
      </c>
      <c r="O43" s="2">
        <v>46049.434789768522</v>
      </c>
      <c r="P43" s="2">
        <v>46049.435499618055</v>
      </c>
      <c r="Q43" s="1" t="s">
        <v>61</v>
      </c>
      <c r="R43" s="1" t="s">
        <v>64</v>
      </c>
      <c r="T43">
        <f>H43-E43</f>
        <v>2.2971527777779031</v>
      </c>
    </row>
    <row r="44" spans="1:20" x14ac:dyDescent="0.3">
      <c r="A44">
        <v>43</v>
      </c>
      <c r="B44">
        <v>1</v>
      </c>
      <c r="C44">
        <v>1769509565.8406999</v>
      </c>
      <c r="D44">
        <v>1769509627.17015</v>
      </c>
      <c r="E44">
        <v>58.329455445544497</v>
      </c>
      <c r="F44">
        <v>1769509736</v>
      </c>
      <c r="G44">
        <v>1769509795</v>
      </c>
      <c r="H44">
        <v>58.323999999999998</v>
      </c>
      <c r="I44">
        <v>3.0054554455444902</v>
      </c>
      <c r="J44">
        <v>3.0054554455444902</v>
      </c>
      <c r="K44">
        <v>5.0235999192055196</v>
      </c>
      <c r="L44">
        <v>-167.829842805862</v>
      </c>
      <c r="M44">
        <v>167.829842805862</v>
      </c>
      <c r="N44" s="3">
        <v>9.4845392344836399E-6</v>
      </c>
      <c r="O44" s="2">
        <v>46049.434789826388</v>
      </c>
      <c r="P44" s="2">
        <v>46049.435499652776</v>
      </c>
      <c r="Q44" s="1" t="s">
        <v>65</v>
      </c>
      <c r="R44" s="1" t="s">
        <v>66</v>
      </c>
      <c r="T44">
        <f>H44-E44</f>
        <v>-5.4554455444986161E-3</v>
      </c>
    </row>
    <row r="45" spans="1:20" x14ac:dyDescent="0.3">
      <c r="A45">
        <v>44</v>
      </c>
      <c r="B45">
        <v>4</v>
      </c>
      <c r="C45">
        <v>1769509565.86444</v>
      </c>
      <c r="D45">
        <v>1769509627.1879599</v>
      </c>
      <c r="E45">
        <v>58.323515810276596</v>
      </c>
      <c r="F45">
        <v>1769509737</v>
      </c>
      <c r="G45">
        <v>1769509793</v>
      </c>
      <c r="H45">
        <v>56.725999999999999</v>
      </c>
      <c r="I45">
        <v>4.5975158102766196</v>
      </c>
      <c r="J45">
        <v>4.5975158102766196</v>
      </c>
      <c r="K45">
        <v>7.78913116029298</v>
      </c>
      <c r="L45">
        <v>-165.812039136886</v>
      </c>
      <c r="M45">
        <v>165.812039136886</v>
      </c>
      <c r="N45" s="3">
        <v>9.3705074457082306E-6</v>
      </c>
      <c r="O45" s="2">
        <v>46049.434790092593</v>
      </c>
      <c r="P45" s="2">
        <v>46049.435499861109</v>
      </c>
      <c r="Q45" s="1" t="s">
        <v>60</v>
      </c>
      <c r="R45" s="1" t="s">
        <v>67</v>
      </c>
      <c r="T45">
        <f>H45-E45</f>
        <v>-1.5975158102765974</v>
      </c>
    </row>
    <row r="46" spans="1:20" x14ac:dyDescent="0.3">
      <c r="A46">
        <v>45</v>
      </c>
      <c r="B46">
        <v>5</v>
      </c>
      <c r="C46">
        <v>1769509565.8705599</v>
      </c>
      <c r="D46">
        <v>1769509627.18501</v>
      </c>
      <c r="E46">
        <v>58.314447731755301</v>
      </c>
      <c r="F46">
        <v>1769509745</v>
      </c>
      <c r="G46">
        <v>1769509803</v>
      </c>
      <c r="H46">
        <v>57.125999999999998</v>
      </c>
      <c r="I46">
        <v>4.1884477317553701</v>
      </c>
      <c r="J46">
        <v>4.1884477317553701</v>
      </c>
      <c r="K46">
        <v>7.0726644688837901</v>
      </c>
      <c r="L46">
        <v>-175.814986467361</v>
      </c>
      <c r="M46">
        <v>175.814986467361</v>
      </c>
      <c r="N46" s="3">
        <v>9.9358022715444695E-6</v>
      </c>
      <c r="O46" s="2">
        <v>46049.434790173611</v>
      </c>
      <c r="P46" s="2">
        <v>46049.435499826388</v>
      </c>
      <c r="Q46" s="1" t="s">
        <v>62</v>
      </c>
      <c r="R46" s="1" t="s">
        <v>68</v>
      </c>
      <c r="T46">
        <f>H46-E46</f>
        <v>-1.1884477317553035</v>
      </c>
    </row>
    <row r="47" spans="1:20" x14ac:dyDescent="0.3">
      <c r="A47">
        <v>46</v>
      </c>
      <c r="B47">
        <v>2</v>
      </c>
      <c r="C47">
        <v>1769509627.1670001</v>
      </c>
      <c r="D47">
        <v>1769509688.4732001</v>
      </c>
      <c r="E47">
        <v>58.306202755905403</v>
      </c>
      <c r="F47">
        <v>1769509785</v>
      </c>
      <c r="G47">
        <v>1769509848</v>
      </c>
      <c r="H47">
        <v>63.094999999999999</v>
      </c>
      <c r="I47">
        <v>-1.7887972440945299</v>
      </c>
      <c r="J47">
        <v>1.7887972440945299</v>
      </c>
      <c r="K47">
        <v>2.8758520086086898</v>
      </c>
      <c r="L47">
        <v>-159.526792526245</v>
      </c>
      <c r="M47">
        <v>159.526792526245</v>
      </c>
      <c r="N47" s="3">
        <v>9.0153100813464699E-6</v>
      </c>
      <c r="O47" s="2">
        <v>46049.435499618055</v>
      </c>
      <c r="P47" s="2">
        <v>46049.436209178239</v>
      </c>
      <c r="Q47" s="1" t="s">
        <v>63</v>
      </c>
      <c r="R47" s="1" t="s">
        <v>69</v>
      </c>
      <c r="T47">
        <f>H47-E47</f>
        <v>4.7887972440945958</v>
      </c>
    </row>
    <row r="48" spans="1:20" x14ac:dyDescent="0.3">
      <c r="A48">
        <v>47</v>
      </c>
      <c r="B48">
        <v>1</v>
      </c>
      <c r="C48">
        <v>1769509627.17015</v>
      </c>
      <c r="D48">
        <v>1769509688.4798701</v>
      </c>
      <c r="E48">
        <v>58.309717092337799</v>
      </c>
      <c r="F48">
        <v>1769509793</v>
      </c>
      <c r="G48">
        <v>1769509850</v>
      </c>
      <c r="H48">
        <v>57.386000000000003</v>
      </c>
      <c r="I48">
        <v>3.9237170923378599</v>
      </c>
      <c r="J48">
        <v>3.9237170923378599</v>
      </c>
      <c r="K48">
        <v>6.61138782166074</v>
      </c>
      <c r="L48">
        <v>-161.52012562751699</v>
      </c>
      <c r="M48">
        <v>161.52012562751699</v>
      </c>
      <c r="N48" s="3">
        <v>9.1279589655442202E-6</v>
      </c>
      <c r="O48" s="2">
        <v>46049.435499652776</v>
      </c>
      <c r="P48" s="2">
        <v>46049.436209259256</v>
      </c>
      <c r="Q48" s="1" t="s">
        <v>67</v>
      </c>
      <c r="R48" s="1" t="s">
        <v>70</v>
      </c>
      <c r="T48">
        <f>H48-E48</f>
        <v>-0.92371709233779598</v>
      </c>
    </row>
    <row r="49" spans="1:20" x14ac:dyDescent="0.3">
      <c r="A49">
        <v>48</v>
      </c>
      <c r="B49">
        <v>3</v>
      </c>
      <c r="C49">
        <v>1769509627.17472</v>
      </c>
      <c r="D49">
        <v>1769509688.4767499</v>
      </c>
      <c r="E49">
        <v>58.302023529411699</v>
      </c>
      <c r="F49">
        <v>1769509794</v>
      </c>
      <c r="G49">
        <v>1769509854</v>
      </c>
      <c r="H49">
        <v>60.398000000000003</v>
      </c>
      <c r="I49">
        <v>0.90402352941170905</v>
      </c>
      <c r="J49">
        <v>0.90402352941170905</v>
      </c>
      <c r="K49">
        <v>1.4856587586332399</v>
      </c>
      <c r="L49">
        <v>-165.52324843406601</v>
      </c>
      <c r="M49">
        <v>165.52324843406601</v>
      </c>
      <c r="N49" s="3">
        <v>9.3541867428189899E-6</v>
      </c>
      <c r="O49" s="2">
        <v>46049.435499710649</v>
      </c>
      <c r="P49" s="2">
        <v>46049.436209224536</v>
      </c>
      <c r="Q49" s="1" t="s">
        <v>64</v>
      </c>
      <c r="R49" s="1" t="s">
        <v>71</v>
      </c>
      <c r="T49">
        <f>H49-E49</f>
        <v>2.0959764705883046</v>
      </c>
    </row>
    <row r="50" spans="1:20" x14ac:dyDescent="0.3">
      <c r="A50">
        <v>49</v>
      </c>
      <c r="B50">
        <v>5</v>
      </c>
      <c r="C50">
        <v>1769509627.18501</v>
      </c>
      <c r="D50">
        <v>1769509688.48526</v>
      </c>
      <c r="E50">
        <v>58.300254403130999</v>
      </c>
      <c r="F50">
        <v>1769509795</v>
      </c>
      <c r="G50">
        <v>1769509853</v>
      </c>
      <c r="H50">
        <v>58.515999999999998</v>
      </c>
      <c r="I50">
        <v>2.7842544031310599</v>
      </c>
      <c r="J50">
        <v>2.7842544031310599</v>
      </c>
      <c r="K50">
        <v>4.6475403808955997</v>
      </c>
      <c r="L50">
        <v>-164.51473212242101</v>
      </c>
      <c r="M50">
        <v>164.51473212242101</v>
      </c>
      <c r="N50" s="3">
        <v>9.2971926373357698E-6</v>
      </c>
      <c r="O50" s="2">
        <v>46049.435499826388</v>
      </c>
      <c r="P50" s="2">
        <v>46049.436209317129</v>
      </c>
      <c r="Q50" s="1" t="s">
        <v>66</v>
      </c>
      <c r="R50" s="1" t="s">
        <v>72</v>
      </c>
      <c r="T50">
        <f>H50-E50</f>
        <v>0.21574559686899875</v>
      </c>
    </row>
    <row r="51" spans="1:20" x14ac:dyDescent="0.3">
      <c r="A51">
        <v>50</v>
      </c>
      <c r="B51">
        <v>4</v>
      </c>
      <c r="C51">
        <v>1769509627.1879599</v>
      </c>
      <c r="D51">
        <v>1769509688.48277</v>
      </c>
      <c r="E51">
        <v>58.2948164062499</v>
      </c>
      <c r="F51">
        <v>1769509803</v>
      </c>
      <c r="G51">
        <v>1769509864</v>
      </c>
      <c r="H51">
        <v>60.387</v>
      </c>
      <c r="I51">
        <v>0.90781640624994897</v>
      </c>
      <c r="J51">
        <v>0.90781640624994897</v>
      </c>
      <c r="K51">
        <v>1.4921151459788999</v>
      </c>
      <c r="L51">
        <v>-175.51722264289799</v>
      </c>
      <c r="M51">
        <v>175.51722264289799</v>
      </c>
      <c r="N51" s="3">
        <v>9.9189744526709597E-6</v>
      </c>
      <c r="O51" s="2">
        <v>46049.435499861109</v>
      </c>
      <c r="P51" s="2">
        <v>46049.436209293985</v>
      </c>
      <c r="Q51" s="1" t="s">
        <v>68</v>
      </c>
      <c r="R51" s="1" t="s">
        <v>73</v>
      </c>
      <c r="T51">
        <f>H51-E51</f>
        <v>2.0921835937501001</v>
      </c>
    </row>
    <row r="52" spans="1:20" x14ac:dyDescent="0.3">
      <c r="A52">
        <v>51</v>
      </c>
      <c r="B52">
        <v>2</v>
      </c>
      <c r="C52">
        <v>1769509688.4732001</v>
      </c>
      <c r="D52">
        <v>1769509749.7662499</v>
      </c>
      <c r="E52">
        <v>58.293046783625599</v>
      </c>
      <c r="F52">
        <v>1769509848</v>
      </c>
      <c r="G52">
        <v>1769509905</v>
      </c>
      <c r="H52">
        <v>57.744</v>
      </c>
      <c r="I52">
        <v>3.54904678362568</v>
      </c>
      <c r="J52">
        <v>3.54904678362568</v>
      </c>
      <c r="K52">
        <v>5.96292814635565</v>
      </c>
      <c r="L52">
        <v>-155.23374581336901</v>
      </c>
      <c r="M52">
        <v>155.23374581336901</v>
      </c>
      <c r="N52" s="3">
        <v>8.7726975804898493E-6</v>
      </c>
      <c r="O52" s="2">
        <v>46049.436209178239</v>
      </c>
      <c r="P52" s="2">
        <v>46049.436918587962</v>
      </c>
      <c r="Q52" s="1" t="s">
        <v>69</v>
      </c>
      <c r="R52" s="1" t="s">
        <v>74</v>
      </c>
      <c r="T52">
        <f>H52-E52</f>
        <v>-0.54904678362559878</v>
      </c>
    </row>
    <row r="53" spans="1:20" x14ac:dyDescent="0.3">
      <c r="A53">
        <v>52</v>
      </c>
      <c r="B53">
        <v>3</v>
      </c>
      <c r="C53">
        <v>1769509688.4767499</v>
      </c>
      <c r="D53">
        <v>1769509749.7628901</v>
      </c>
      <c r="E53">
        <v>58.286142023346201</v>
      </c>
      <c r="F53">
        <v>1769509850</v>
      </c>
      <c r="G53">
        <v>1769509908</v>
      </c>
      <c r="H53">
        <v>57.622</v>
      </c>
      <c r="I53">
        <v>3.6641420233462498</v>
      </c>
      <c r="J53">
        <v>3.6641420233462498</v>
      </c>
      <c r="K53">
        <v>6.1629791888041501</v>
      </c>
      <c r="L53">
        <v>-158.23710632324199</v>
      </c>
      <c r="M53">
        <v>158.23710632324199</v>
      </c>
      <c r="N53" s="3">
        <v>8.9424259611639396E-6</v>
      </c>
      <c r="O53" s="2">
        <v>46049.436209224536</v>
      </c>
      <c r="P53" s="2">
        <v>46049.436918553241</v>
      </c>
      <c r="Q53" s="1" t="s">
        <v>70</v>
      </c>
      <c r="R53" s="1" t="s">
        <v>75</v>
      </c>
      <c r="T53">
        <f>H53-E53</f>
        <v>-0.66414202334620143</v>
      </c>
    </row>
    <row r="54" spans="1:20" x14ac:dyDescent="0.3">
      <c r="A54">
        <v>53</v>
      </c>
      <c r="B54">
        <v>1</v>
      </c>
      <c r="C54">
        <v>1769509688.4798701</v>
      </c>
      <c r="D54">
        <v>1769509749.7588999</v>
      </c>
      <c r="E54">
        <v>58.279027184465903</v>
      </c>
      <c r="F54">
        <v>1769509853</v>
      </c>
      <c r="G54">
        <v>1769509915</v>
      </c>
      <c r="H54">
        <v>61.448999999999998</v>
      </c>
      <c r="I54">
        <v>-0.16997281553402299</v>
      </c>
      <c r="J54">
        <v>0.16997281553402299</v>
      </c>
      <c r="K54">
        <v>0.27699103364310801</v>
      </c>
      <c r="L54">
        <v>-165.24109840393001</v>
      </c>
      <c r="M54">
        <v>165.24109840393001</v>
      </c>
      <c r="N54" s="3">
        <v>9.3382413242503298E-6</v>
      </c>
      <c r="O54" s="2">
        <v>46049.436209259256</v>
      </c>
      <c r="P54" s="2">
        <v>46049.436918506944</v>
      </c>
      <c r="Q54" s="1" t="s">
        <v>72</v>
      </c>
      <c r="R54" s="1" t="s">
        <v>76</v>
      </c>
      <c r="T54">
        <f>H54-E54</f>
        <v>3.1699728155340949</v>
      </c>
    </row>
    <row r="55" spans="1:20" x14ac:dyDescent="0.3">
      <c r="A55">
        <v>54</v>
      </c>
      <c r="B55">
        <v>4</v>
      </c>
      <c r="C55">
        <v>1769509688.48277</v>
      </c>
      <c r="D55">
        <v>1769509749.76213</v>
      </c>
      <c r="E55">
        <v>58.279356589147199</v>
      </c>
      <c r="F55">
        <v>1769509854</v>
      </c>
      <c r="G55">
        <v>1769509914</v>
      </c>
      <c r="H55">
        <v>59.396000000000001</v>
      </c>
      <c r="I55">
        <v>1.8833565891472399</v>
      </c>
      <c r="J55">
        <v>1.8833565891472399</v>
      </c>
      <c r="K55">
        <v>3.1213607191720798</v>
      </c>
      <c r="L55">
        <v>-164.23786616325299</v>
      </c>
      <c r="M55">
        <v>164.23786616325299</v>
      </c>
      <c r="N55" s="3">
        <v>9.2815458385253303E-6</v>
      </c>
      <c r="O55" s="2">
        <v>46049.436209293985</v>
      </c>
      <c r="P55" s="2">
        <v>46049.436918541665</v>
      </c>
      <c r="Q55" s="1" t="s">
        <v>71</v>
      </c>
      <c r="R55" s="1" t="s">
        <v>77</v>
      </c>
      <c r="T55">
        <f>H55-E55</f>
        <v>1.1166434108528023</v>
      </c>
    </row>
    <row r="56" spans="1:20" x14ac:dyDescent="0.3">
      <c r="A56">
        <v>55</v>
      </c>
      <c r="B56">
        <v>5</v>
      </c>
      <c r="C56">
        <v>1769509688.48526</v>
      </c>
      <c r="D56">
        <v>1769509749.7609799</v>
      </c>
      <c r="E56">
        <v>58.2757137330753</v>
      </c>
      <c r="F56">
        <v>1769509863</v>
      </c>
      <c r="G56">
        <v>1769509925</v>
      </c>
      <c r="H56">
        <v>61.755000000000003</v>
      </c>
      <c r="I56">
        <v>-0.47928626692461002</v>
      </c>
      <c r="J56">
        <v>0.47928626692461002</v>
      </c>
      <c r="K56">
        <v>0.77913270984424099</v>
      </c>
      <c r="L56">
        <v>-175.23901844024601</v>
      </c>
      <c r="M56">
        <v>175.23901844024601</v>
      </c>
      <c r="N56" s="3">
        <v>9.9032520045021708E-6</v>
      </c>
      <c r="O56" s="2">
        <v>46049.436209317129</v>
      </c>
      <c r="P56" s="2">
        <v>46049.436918530089</v>
      </c>
      <c r="Q56" s="1" t="s">
        <v>78</v>
      </c>
      <c r="R56" s="1" t="s">
        <v>79</v>
      </c>
      <c r="T56">
        <f>H56-E56</f>
        <v>3.4792862669247029</v>
      </c>
    </row>
    <row r="57" spans="1:20" x14ac:dyDescent="0.3">
      <c r="A57">
        <v>56</v>
      </c>
      <c r="B57">
        <v>1</v>
      </c>
      <c r="C57">
        <v>1769509749.7588999</v>
      </c>
      <c r="D57">
        <v>1769509811.0355401</v>
      </c>
      <c r="E57">
        <v>58.2766389961389</v>
      </c>
      <c r="F57">
        <v>1769509905</v>
      </c>
      <c r="G57">
        <v>1769509961</v>
      </c>
      <c r="H57">
        <v>55.634999999999998</v>
      </c>
      <c r="I57">
        <v>5.6416389961389504</v>
      </c>
      <c r="J57">
        <v>5.6416389961389504</v>
      </c>
      <c r="K57">
        <v>9.6511160814797492</v>
      </c>
      <c r="L57">
        <v>-149.96445941925001</v>
      </c>
      <c r="M57">
        <v>149.96445941925001</v>
      </c>
      <c r="N57" s="3">
        <v>8.4749150374480806E-6</v>
      </c>
      <c r="O57" s="2">
        <v>46049.436918506944</v>
      </c>
      <c r="P57" s="2">
        <v>46049.43762773148</v>
      </c>
      <c r="Q57" s="1" t="s">
        <v>74</v>
      </c>
      <c r="R57" s="1" t="s">
        <v>80</v>
      </c>
      <c r="T57">
        <f>H57-E57</f>
        <v>-2.6416389961389015</v>
      </c>
    </row>
    <row r="58" spans="1:20" x14ac:dyDescent="0.3">
      <c r="A58">
        <v>57</v>
      </c>
      <c r="B58">
        <v>5</v>
      </c>
      <c r="C58">
        <v>1769509749.7609799</v>
      </c>
      <c r="D58">
        <v>1769509811.0267501</v>
      </c>
      <c r="E58">
        <v>58.265768786127097</v>
      </c>
      <c r="F58">
        <v>1769509908</v>
      </c>
      <c r="G58">
        <v>1769509964</v>
      </c>
      <c r="H58">
        <v>56.682000000000002</v>
      </c>
      <c r="I58">
        <v>4.5837687861271199</v>
      </c>
      <c r="J58">
        <v>4.5837687861271199</v>
      </c>
      <c r="K58">
        <v>7.7725400544690197</v>
      </c>
      <c r="L58">
        <v>-152.97324967384299</v>
      </c>
      <c r="M58">
        <v>152.97324967384299</v>
      </c>
      <c r="N58" s="3">
        <v>8.6449502629686199E-6</v>
      </c>
      <c r="O58" s="2">
        <v>46049.436918530089</v>
      </c>
      <c r="P58" s="2">
        <v>46049.437627627318</v>
      </c>
      <c r="Q58" s="1" t="s">
        <v>75</v>
      </c>
      <c r="R58" s="1" t="s">
        <v>81</v>
      </c>
      <c r="T58">
        <f>H58-E58</f>
        <v>-1.583768786127095</v>
      </c>
    </row>
    <row r="59" spans="1:20" x14ac:dyDescent="0.3">
      <c r="A59">
        <v>58</v>
      </c>
      <c r="B59">
        <v>4</v>
      </c>
      <c r="C59">
        <v>1769509749.76213</v>
      </c>
      <c r="D59">
        <v>1769509811.0190799</v>
      </c>
      <c r="E59">
        <v>58.256953846153799</v>
      </c>
      <c r="F59">
        <v>1769509914</v>
      </c>
      <c r="G59">
        <v>1769509971</v>
      </c>
      <c r="H59">
        <v>57.895000000000003</v>
      </c>
      <c r="I59">
        <v>3.3619538461538001</v>
      </c>
      <c r="J59">
        <v>3.3619538461538001</v>
      </c>
      <c r="K59">
        <v>5.6431367470392901</v>
      </c>
      <c r="L59">
        <v>-159.98091220855699</v>
      </c>
      <c r="M59">
        <v>159.98091220855699</v>
      </c>
      <c r="N59" s="3">
        <v>9.0409730412574602E-6</v>
      </c>
      <c r="O59" s="2">
        <v>46049.436918541665</v>
      </c>
      <c r="P59" s="2">
        <v>46049.437627534724</v>
      </c>
      <c r="Q59" s="1" t="s">
        <v>77</v>
      </c>
      <c r="R59" s="1" t="s">
        <v>82</v>
      </c>
      <c r="T59">
        <f>H59-E59</f>
        <v>-0.36195384615379567</v>
      </c>
    </row>
    <row r="60" spans="1:20" x14ac:dyDescent="0.3">
      <c r="A60">
        <v>59</v>
      </c>
      <c r="B60">
        <v>3</v>
      </c>
      <c r="C60">
        <v>1769509749.7628901</v>
      </c>
      <c r="D60">
        <v>1769509811.0133901</v>
      </c>
      <c r="E60">
        <v>58.250500959692801</v>
      </c>
      <c r="F60">
        <v>1769509915</v>
      </c>
      <c r="G60">
        <v>1769509975</v>
      </c>
      <c r="H60">
        <v>60.31</v>
      </c>
      <c r="I60">
        <v>0.94050095969285497</v>
      </c>
      <c r="J60">
        <v>0.94050095969285497</v>
      </c>
      <c r="K60">
        <v>1.5473792099700301</v>
      </c>
      <c r="L60">
        <v>-163.98660540580701</v>
      </c>
      <c r="M60">
        <v>163.98660540580701</v>
      </c>
      <c r="N60" s="3">
        <v>9.2673460631048704E-6</v>
      </c>
      <c r="O60" s="2">
        <v>46049.436918553241</v>
      </c>
      <c r="P60" s="2">
        <v>46049.437627465275</v>
      </c>
      <c r="Q60" s="1" t="s">
        <v>76</v>
      </c>
      <c r="R60" s="1" t="s">
        <v>83</v>
      </c>
      <c r="T60">
        <f>H60-E60</f>
        <v>2.0594990403072018</v>
      </c>
    </row>
    <row r="61" spans="1:20" x14ac:dyDescent="0.3">
      <c r="A61">
        <v>60</v>
      </c>
      <c r="B61">
        <v>2</v>
      </c>
      <c r="C61">
        <v>1769509749.7662499</v>
      </c>
      <c r="D61">
        <v>1769509811.01495</v>
      </c>
      <c r="E61">
        <v>58.248699233716401</v>
      </c>
      <c r="F61">
        <v>1769509925</v>
      </c>
      <c r="G61">
        <v>1769509989</v>
      </c>
      <c r="H61">
        <v>63.646000000000001</v>
      </c>
      <c r="I61">
        <v>-2.3973007662835601</v>
      </c>
      <c r="J61">
        <v>2.3973007662835601</v>
      </c>
      <c r="K61">
        <v>3.8389151517110802</v>
      </c>
      <c r="L61">
        <v>-177.98504662513699</v>
      </c>
      <c r="M61">
        <v>177.98504662513699</v>
      </c>
      <c r="N61" s="3">
        <v>1.0058437459117E-5</v>
      </c>
      <c r="O61" s="2">
        <v>46049.436918587962</v>
      </c>
      <c r="P61" s="2">
        <v>46049.437627488427</v>
      </c>
      <c r="Q61" s="1" t="s">
        <v>79</v>
      </c>
      <c r="R61" s="1" t="s">
        <v>84</v>
      </c>
      <c r="T61">
        <f>H61-E61</f>
        <v>5.3973007662835997</v>
      </c>
    </row>
    <row r="62" spans="1:20" x14ac:dyDescent="0.3">
      <c r="A62">
        <v>61</v>
      </c>
      <c r="B62">
        <v>3</v>
      </c>
      <c r="C62">
        <v>1769509811.0133901</v>
      </c>
      <c r="D62">
        <v>1769509872.26667</v>
      </c>
      <c r="E62">
        <v>58.253282982791497</v>
      </c>
      <c r="F62">
        <v>1769509961</v>
      </c>
      <c r="G62">
        <v>1769510020</v>
      </c>
      <c r="H62">
        <v>59.216000000000001</v>
      </c>
      <c r="I62">
        <v>2.03728298279154</v>
      </c>
      <c r="J62">
        <v>2.03728298279154</v>
      </c>
      <c r="K62">
        <v>3.3822447222211101</v>
      </c>
      <c r="L62">
        <v>-147.73332238197301</v>
      </c>
      <c r="M62">
        <v>147.73332238197301</v>
      </c>
      <c r="N62" s="3">
        <v>8.3488269000574993E-6</v>
      </c>
      <c r="O62" s="2">
        <v>46049.437627465275</v>
      </c>
      <c r="P62" s="2">
        <v>46049.438336423613</v>
      </c>
      <c r="Q62" s="1" t="s">
        <v>80</v>
      </c>
      <c r="R62" s="1" t="s">
        <v>85</v>
      </c>
      <c r="T62">
        <f>H62-E62</f>
        <v>0.96271701720850444</v>
      </c>
    </row>
    <row r="63" spans="1:20" x14ac:dyDescent="0.3">
      <c r="A63">
        <v>62</v>
      </c>
      <c r="B63">
        <v>2</v>
      </c>
      <c r="C63">
        <v>1769509811.01495</v>
      </c>
      <c r="D63">
        <v>1769509872.2643399</v>
      </c>
      <c r="E63">
        <v>58.249395038167897</v>
      </c>
      <c r="F63">
        <v>1769509964</v>
      </c>
      <c r="G63">
        <v>1769510021</v>
      </c>
      <c r="H63">
        <v>57.463000000000001</v>
      </c>
      <c r="I63">
        <v>3.7863950381678899</v>
      </c>
      <c r="J63">
        <v>3.7863950381678899</v>
      </c>
      <c r="K63">
        <v>6.3791064731707401</v>
      </c>
      <c r="L63">
        <v>-148.735651493072</v>
      </c>
      <c r="M63">
        <v>148.735651493072</v>
      </c>
      <c r="N63" s="3">
        <v>8.4054713439816504E-6</v>
      </c>
      <c r="O63" s="2">
        <v>46049.437627488427</v>
      </c>
      <c r="P63" s="2">
        <v>46049.438336388892</v>
      </c>
      <c r="Q63" s="1" t="s">
        <v>81</v>
      </c>
      <c r="R63" s="1" t="s">
        <v>86</v>
      </c>
      <c r="T63">
        <f>H63-E63</f>
        <v>-0.78639503816789613</v>
      </c>
    </row>
    <row r="64" spans="1:20" x14ac:dyDescent="0.3">
      <c r="A64">
        <v>63</v>
      </c>
      <c r="B64">
        <v>4</v>
      </c>
      <c r="C64">
        <v>1769509811.0190799</v>
      </c>
      <c r="D64">
        <v>1769509872.26127</v>
      </c>
      <c r="E64">
        <v>58.242182857142801</v>
      </c>
      <c r="F64">
        <v>1769509971</v>
      </c>
      <c r="G64">
        <v>1769510028</v>
      </c>
      <c r="H64">
        <v>56.27</v>
      </c>
      <c r="I64">
        <v>4.9721828571428102</v>
      </c>
      <c r="J64">
        <v>4.9721828571428102</v>
      </c>
      <c r="K64">
        <v>8.4624125537475408</v>
      </c>
      <c r="L64">
        <v>-155.73872923850999</v>
      </c>
      <c r="M64">
        <v>155.73872923850999</v>
      </c>
      <c r="N64" s="3">
        <v>8.8012350101231402E-6</v>
      </c>
      <c r="O64" s="2">
        <v>46049.437627534724</v>
      </c>
      <c r="P64" s="2">
        <v>46049.438336354164</v>
      </c>
      <c r="Q64" s="1" t="s">
        <v>82</v>
      </c>
      <c r="R64" s="1" t="s">
        <v>87</v>
      </c>
      <c r="T64">
        <f>H64-E64</f>
        <v>-1.9721828571427977</v>
      </c>
    </row>
    <row r="65" spans="1:20" x14ac:dyDescent="0.3">
      <c r="A65">
        <v>64</v>
      </c>
      <c r="B65">
        <v>5</v>
      </c>
      <c r="C65">
        <v>1769509811.0267501</v>
      </c>
      <c r="D65">
        <v>1769509872.25948</v>
      </c>
      <c r="E65">
        <v>58.232730038022702</v>
      </c>
      <c r="F65">
        <v>1769509975</v>
      </c>
      <c r="G65">
        <v>1769510031</v>
      </c>
      <c r="H65">
        <v>55.923000000000002</v>
      </c>
      <c r="I65">
        <v>5.3097300380227699</v>
      </c>
      <c r="J65">
        <v>5.3097300380227699</v>
      </c>
      <c r="K65">
        <v>9.06439665614222</v>
      </c>
      <c r="L65">
        <v>-158.74051952362001</v>
      </c>
      <c r="M65">
        <v>158.74051952362001</v>
      </c>
      <c r="N65" s="3">
        <v>8.97087464116371E-6</v>
      </c>
      <c r="O65" s="2">
        <v>46049.437627627318</v>
      </c>
      <c r="P65" s="2">
        <v>46049.438336331019</v>
      </c>
      <c r="Q65" s="1" t="s">
        <v>83</v>
      </c>
      <c r="R65" s="1" t="s">
        <v>88</v>
      </c>
      <c r="T65">
        <f>H65-E65</f>
        <v>-2.3097300380226997</v>
      </c>
    </row>
    <row r="66" spans="1:20" x14ac:dyDescent="0.3">
      <c r="A66">
        <v>65</v>
      </c>
      <c r="B66">
        <v>1</v>
      </c>
      <c r="C66">
        <v>1769509811.0355401</v>
      </c>
      <c r="D66">
        <v>1769509872.2581899</v>
      </c>
      <c r="E66">
        <v>58.222654648956301</v>
      </c>
      <c r="F66">
        <v>1769509989</v>
      </c>
      <c r="G66">
        <v>1769510049</v>
      </c>
      <c r="H66">
        <v>60.482999999999997</v>
      </c>
      <c r="I66">
        <v>0.73965464895631705</v>
      </c>
      <c r="J66">
        <v>0.73965464895631705</v>
      </c>
      <c r="K66">
        <v>1.2154811558916501</v>
      </c>
      <c r="L66">
        <v>-176.74180483818</v>
      </c>
      <c r="M66">
        <v>176.74180483818</v>
      </c>
      <c r="N66" s="3">
        <v>9.9881780137222304E-6</v>
      </c>
      <c r="O66" s="2">
        <v>46049.43762773148</v>
      </c>
      <c r="P66" s="2">
        <v>46049.438336319443</v>
      </c>
      <c r="Q66" s="1" t="s">
        <v>84</v>
      </c>
      <c r="R66" s="1" t="s">
        <v>89</v>
      </c>
      <c r="T66">
        <f>H66-E66</f>
        <v>2.2603453510436964</v>
      </c>
    </row>
    <row r="67" spans="1:20" x14ac:dyDescent="0.3">
      <c r="A67">
        <v>66</v>
      </c>
      <c r="B67">
        <v>1</v>
      </c>
      <c r="C67">
        <v>1769509872.2581899</v>
      </c>
      <c r="D67">
        <v>1769509933.47944</v>
      </c>
      <c r="E67">
        <v>58.221253787878702</v>
      </c>
      <c r="F67">
        <v>1769510020</v>
      </c>
      <c r="G67">
        <v>1769510078</v>
      </c>
      <c r="H67">
        <v>57.442</v>
      </c>
      <c r="I67">
        <v>3.7792537878787398</v>
      </c>
      <c r="J67">
        <v>3.7792537878787398</v>
      </c>
      <c r="K67">
        <v>6.3697120502603104</v>
      </c>
      <c r="L67">
        <v>-144.52055096626199</v>
      </c>
      <c r="M67">
        <v>144.52055096626199</v>
      </c>
      <c r="N67" s="3">
        <v>8.1672638469115295E-6</v>
      </c>
      <c r="O67" s="2">
        <v>46049.438336319443</v>
      </c>
      <c r="P67" s="2">
        <v>46049.439044895837</v>
      </c>
      <c r="Q67" s="1" t="s">
        <v>85</v>
      </c>
      <c r="R67" s="1" t="s">
        <v>90</v>
      </c>
      <c r="T67">
        <f>H67-E67</f>
        <v>-0.77925378787870159</v>
      </c>
    </row>
    <row r="68" spans="1:20" x14ac:dyDescent="0.3">
      <c r="A68">
        <v>67</v>
      </c>
      <c r="B68">
        <v>5</v>
      </c>
      <c r="C68">
        <v>1769509872.25948</v>
      </c>
      <c r="D68">
        <v>1769509933.4735899</v>
      </c>
      <c r="E68">
        <v>58.214109640831701</v>
      </c>
      <c r="F68">
        <v>1769510021</v>
      </c>
      <c r="G68">
        <v>1769510080</v>
      </c>
      <c r="H68">
        <v>58.512999999999998</v>
      </c>
      <c r="I68">
        <v>2.7011096408317101</v>
      </c>
      <c r="J68">
        <v>2.7011096408317101</v>
      </c>
      <c r="K68">
        <v>4.5121103297903904</v>
      </c>
      <c r="L68">
        <v>-146.52640986442501</v>
      </c>
      <c r="M68">
        <v>146.52640986442501</v>
      </c>
      <c r="N68" s="3">
        <v>8.28062058460123E-6</v>
      </c>
      <c r="O68" s="2">
        <v>46049.438336331019</v>
      </c>
      <c r="P68" s="2">
        <v>46049.439044837964</v>
      </c>
      <c r="Q68" s="1" t="s">
        <v>86</v>
      </c>
      <c r="R68" s="1" t="s">
        <v>91</v>
      </c>
      <c r="T68">
        <f>H68-E68</f>
        <v>0.29889035916829698</v>
      </c>
    </row>
    <row r="69" spans="1:20" x14ac:dyDescent="0.3">
      <c r="A69">
        <v>68</v>
      </c>
      <c r="B69">
        <v>4</v>
      </c>
      <c r="C69">
        <v>1769509872.26127</v>
      </c>
      <c r="D69">
        <v>1769509933.4702799</v>
      </c>
      <c r="E69">
        <v>58.209013207547102</v>
      </c>
      <c r="F69">
        <v>1769510028</v>
      </c>
      <c r="G69">
        <v>1769510083</v>
      </c>
      <c r="H69">
        <v>55.695</v>
      </c>
      <c r="I69">
        <v>5.51401320754713</v>
      </c>
      <c r="J69">
        <v>5.51401320754713</v>
      </c>
      <c r="K69">
        <v>9.4334027656651092</v>
      </c>
      <c r="L69">
        <v>-149.529716014862</v>
      </c>
      <c r="M69">
        <v>149.529716014862</v>
      </c>
      <c r="N69" s="3">
        <v>8.4503458764835501E-6</v>
      </c>
      <c r="O69" s="2">
        <v>46049.438336354164</v>
      </c>
      <c r="P69" s="2">
        <v>46049.439044791667</v>
      </c>
      <c r="Q69" s="1" t="s">
        <v>87</v>
      </c>
      <c r="R69" s="1" t="s">
        <v>92</v>
      </c>
      <c r="T69">
        <f>H69-E69</f>
        <v>-2.5140132075471016</v>
      </c>
    </row>
    <row r="70" spans="1:20" x14ac:dyDescent="0.3">
      <c r="A70">
        <v>69</v>
      </c>
      <c r="B70">
        <v>2</v>
      </c>
      <c r="C70">
        <v>1769509872.2643399</v>
      </c>
      <c r="D70">
        <v>1769509933.46297</v>
      </c>
      <c r="E70">
        <v>58.198629001883198</v>
      </c>
      <c r="F70">
        <v>1769510031</v>
      </c>
      <c r="G70">
        <v>1769510087</v>
      </c>
      <c r="H70">
        <v>56.271000000000001</v>
      </c>
      <c r="I70">
        <v>4.9276290018831901</v>
      </c>
      <c r="J70">
        <v>4.9276290018831901</v>
      </c>
      <c r="K70">
        <v>8.3896221410628602</v>
      </c>
      <c r="L70">
        <v>-153.53702259063701</v>
      </c>
      <c r="M70">
        <v>153.53702259063701</v>
      </c>
      <c r="N70" s="3">
        <v>8.6768100605744096E-6</v>
      </c>
      <c r="O70" s="2">
        <v>46049.438336388892</v>
      </c>
      <c r="P70" s="2">
        <v>46049.439044710649</v>
      </c>
      <c r="Q70" s="1" t="s">
        <v>88</v>
      </c>
      <c r="R70" s="1" t="s">
        <v>93</v>
      </c>
      <c r="T70">
        <f>H70-E70</f>
        <v>-1.9276290018831972</v>
      </c>
    </row>
    <row r="71" spans="1:20" x14ac:dyDescent="0.3">
      <c r="A71">
        <v>70</v>
      </c>
      <c r="B71">
        <v>3</v>
      </c>
      <c r="C71">
        <v>1769509872.26667</v>
      </c>
      <c r="D71">
        <v>1769509933.4560399</v>
      </c>
      <c r="E71">
        <v>58.189366541353301</v>
      </c>
      <c r="F71">
        <v>1769510049</v>
      </c>
      <c r="G71">
        <v>1769510110</v>
      </c>
      <c r="H71">
        <v>60.640999999999998</v>
      </c>
      <c r="I71">
        <v>0.54836654135334495</v>
      </c>
      <c r="J71">
        <v>0.54836654135334495</v>
      </c>
      <c r="K71">
        <v>0.90021323405804798</v>
      </c>
      <c r="L71">
        <v>-176.543955802917</v>
      </c>
      <c r="M71">
        <v>176.543955802917</v>
      </c>
      <c r="N71" s="3">
        <v>9.9769966620767E-6</v>
      </c>
      <c r="O71" s="2">
        <v>46049.438336423613</v>
      </c>
      <c r="P71" s="2">
        <v>46049.439044629631</v>
      </c>
      <c r="Q71" s="1" t="s">
        <v>89</v>
      </c>
      <c r="R71" s="1" t="s">
        <v>94</v>
      </c>
      <c r="T71">
        <f>H71-E71</f>
        <v>2.4516334586466968</v>
      </c>
    </row>
    <row r="72" spans="1:20" x14ac:dyDescent="0.3">
      <c r="A72">
        <v>71</v>
      </c>
      <c r="B72">
        <v>3</v>
      </c>
      <c r="C72">
        <v>1769509933.4560399</v>
      </c>
      <c r="D72">
        <v>1769509994.6443801</v>
      </c>
      <c r="E72">
        <v>58.188337711069302</v>
      </c>
      <c r="F72">
        <v>1769510078</v>
      </c>
      <c r="G72">
        <v>1769510134</v>
      </c>
      <c r="H72">
        <v>56.649000000000001</v>
      </c>
      <c r="I72">
        <v>4.5393377110693702</v>
      </c>
      <c r="J72">
        <v>4.5393377110693702</v>
      </c>
      <c r="K72">
        <v>7.7044132178199396</v>
      </c>
      <c r="L72">
        <v>-139.35561800003001</v>
      </c>
      <c r="M72">
        <v>139.35561800003001</v>
      </c>
      <c r="N72" s="3">
        <v>7.8753786604435294E-6</v>
      </c>
      <c r="O72" s="2">
        <v>46049.439044629631</v>
      </c>
      <c r="P72" s="2">
        <v>46049.439752824073</v>
      </c>
      <c r="Q72" s="1" t="s">
        <v>90</v>
      </c>
      <c r="R72" s="1" t="s">
        <v>95</v>
      </c>
      <c r="T72">
        <f>H72-E72</f>
        <v>-1.539337711069301</v>
      </c>
    </row>
    <row r="73" spans="1:20" x14ac:dyDescent="0.3">
      <c r="A73">
        <v>72</v>
      </c>
      <c r="B73">
        <v>2</v>
      </c>
      <c r="C73">
        <v>1769509933.46297</v>
      </c>
      <c r="D73">
        <v>1769509994.6428101</v>
      </c>
      <c r="E73">
        <v>58.179837078651602</v>
      </c>
      <c r="F73">
        <v>1769510080</v>
      </c>
      <c r="G73">
        <v>1769510137</v>
      </c>
      <c r="H73">
        <v>57.972999999999999</v>
      </c>
      <c r="I73">
        <v>3.20683707865164</v>
      </c>
      <c r="J73">
        <v>3.20683707865164</v>
      </c>
      <c r="K73">
        <v>5.3827288670178097</v>
      </c>
      <c r="L73">
        <v>-142.357185602188</v>
      </c>
      <c r="M73">
        <v>142.357185602188</v>
      </c>
      <c r="N73" s="3">
        <v>8.0450056968794798E-6</v>
      </c>
      <c r="O73" s="2">
        <v>46049.439044710649</v>
      </c>
      <c r="P73" s="2">
        <v>46049.439752812497</v>
      </c>
      <c r="Q73" s="1" t="s">
        <v>91</v>
      </c>
      <c r="R73" s="1" t="s">
        <v>96</v>
      </c>
      <c r="T73">
        <f>H73-E73</f>
        <v>-0.20683707865160272</v>
      </c>
    </row>
    <row r="74" spans="1:20" x14ac:dyDescent="0.3">
      <c r="A74">
        <v>73</v>
      </c>
      <c r="B74">
        <v>4</v>
      </c>
      <c r="C74">
        <v>1769509933.4702799</v>
      </c>
      <c r="D74">
        <v>1769509994.64412</v>
      </c>
      <c r="E74">
        <v>58.173842990654101</v>
      </c>
      <c r="F74">
        <v>1769510083</v>
      </c>
      <c r="G74">
        <v>1769510144</v>
      </c>
      <c r="H74">
        <v>60.728000000000002</v>
      </c>
      <c r="I74">
        <v>0.445842990654163</v>
      </c>
      <c r="J74">
        <v>0.445842990654163</v>
      </c>
      <c r="K74">
        <v>0.731478671226234</v>
      </c>
      <c r="L74">
        <v>-149.35587310791001</v>
      </c>
      <c r="M74">
        <v>149.35587310791001</v>
      </c>
      <c r="N74" s="3">
        <v>8.4405212322488505E-6</v>
      </c>
      <c r="O74" s="2">
        <v>46049.439044791667</v>
      </c>
      <c r="P74" s="2">
        <v>46049.439752824073</v>
      </c>
      <c r="Q74" s="1" t="s">
        <v>92</v>
      </c>
      <c r="R74" s="1" t="s">
        <v>97</v>
      </c>
      <c r="T74">
        <f>H74-E74</f>
        <v>2.5541570093459001</v>
      </c>
    </row>
    <row r="75" spans="1:20" x14ac:dyDescent="0.3">
      <c r="A75">
        <v>74</v>
      </c>
      <c r="B75">
        <v>5</v>
      </c>
      <c r="C75">
        <v>1769509933.4735899</v>
      </c>
      <c r="D75">
        <v>1769509994.6466</v>
      </c>
      <c r="E75">
        <v>58.173011194029797</v>
      </c>
      <c r="F75">
        <v>1769510087</v>
      </c>
      <c r="G75">
        <v>1769510145</v>
      </c>
      <c r="H75">
        <v>58.234000000000002</v>
      </c>
      <c r="I75">
        <v>2.9390111940298098</v>
      </c>
      <c r="J75">
        <v>2.9390111940298098</v>
      </c>
      <c r="K75">
        <v>4.9226777634590899</v>
      </c>
      <c r="L75">
        <v>-150.35339856147701</v>
      </c>
      <c r="M75">
        <v>150.35339856147701</v>
      </c>
      <c r="N75" s="3">
        <v>8.4968942039697792E-6</v>
      </c>
      <c r="O75" s="2">
        <v>46049.439044837964</v>
      </c>
      <c r="P75" s="2">
        <v>46049.439752858794</v>
      </c>
      <c r="Q75" s="1" t="s">
        <v>93</v>
      </c>
      <c r="R75" s="1" t="s">
        <v>98</v>
      </c>
      <c r="T75">
        <f>H75-E75</f>
        <v>6.0988805970204396E-2</v>
      </c>
    </row>
    <row r="76" spans="1:20" x14ac:dyDescent="0.3">
      <c r="A76">
        <v>75</v>
      </c>
      <c r="B76">
        <v>1</v>
      </c>
      <c r="C76">
        <v>1769509933.47944</v>
      </c>
      <c r="D76">
        <v>1769509994.64698</v>
      </c>
      <c r="E76">
        <v>58.167538175046502</v>
      </c>
      <c r="F76">
        <v>1769510110</v>
      </c>
      <c r="G76">
        <v>1769510174</v>
      </c>
      <c r="H76">
        <v>63.765999999999998</v>
      </c>
      <c r="I76">
        <v>-2.5984618249534801</v>
      </c>
      <c r="J76">
        <v>2.5984618249534801</v>
      </c>
      <c r="K76">
        <v>4.1597506368749899</v>
      </c>
      <c r="L76">
        <v>-179.35301280021599</v>
      </c>
      <c r="M76">
        <v>179.35301280021599</v>
      </c>
      <c r="N76" s="3">
        <v>1.01357440338513E-5</v>
      </c>
      <c r="O76" s="2">
        <v>46049.439044895837</v>
      </c>
      <c r="P76" s="2">
        <v>46049.439752858794</v>
      </c>
      <c r="Q76" s="1" t="s">
        <v>94</v>
      </c>
      <c r="R76" s="1" t="s">
        <v>99</v>
      </c>
      <c r="T76">
        <f>H76-E76</f>
        <v>5.5984618249534961</v>
      </c>
    </row>
    <row r="77" spans="1:20" x14ac:dyDescent="0.3">
      <c r="A77">
        <v>76</v>
      </c>
      <c r="B77">
        <v>2</v>
      </c>
      <c r="C77">
        <v>1769509994.6428101</v>
      </c>
      <c r="D77">
        <v>1769510055.8151801</v>
      </c>
      <c r="E77">
        <v>58.172368029739701</v>
      </c>
      <c r="F77">
        <v>1769510134</v>
      </c>
      <c r="G77">
        <v>1769510191</v>
      </c>
      <c r="H77">
        <v>57.341999999999999</v>
      </c>
      <c r="I77">
        <v>3.8303680297397298</v>
      </c>
      <c r="J77">
        <v>3.8303680297397298</v>
      </c>
      <c r="K77">
        <v>6.4639724168778399</v>
      </c>
      <c r="L77">
        <v>-135.18481755256599</v>
      </c>
      <c r="M77">
        <v>135.18481755256599</v>
      </c>
      <c r="N77" s="3">
        <v>7.6396747192515402E-6</v>
      </c>
      <c r="O77" s="2">
        <v>46049.439752812497</v>
      </c>
      <c r="P77" s="2">
        <v>46049.440460821759</v>
      </c>
      <c r="Q77" s="1" t="s">
        <v>95</v>
      </c>
      <c r="R77" s="1" t="s">
        <v>100</v>
      </c>
      <c r="T77">
        <f>H77-E77</f>
        <v>-0.83036802973970225</v>
      </c>
    </row>
    <row r="78" spans="1:20" x14ac:dyDescent="0.3">
      <c r="A78">
        <v>77</v>
      </c>
      <c r="B78">
        <v>4</v>
      </c>
      <c r="C78">
        <v>1769509994.64412</v>
      </c>
      <c r="D78">
        <v>1769510055.8093801</v>
      </c>
      <c r="E78">
        <v>58.1652615955472</v>
      </c>
      <c r="F78">
        <v>1769510137</v>
      </c>
      <c r="G78">
        <v>1769510196</v>
      </c>
      <c r="H78">
        <v>58.143000000000001</v>
      </c>
      <c r="I78">
        <v>3.02226159554727</v>
      </c>
      <c r="J78">
        <v>3.02226159554727</v>
      </c>
      <c r="K78">
        <v>5.0663073204313003</v>
      </c>
      <c r="L78">
        <v>-140.190611600875</v>
      </c>
      <c r="M78">
        <v>140.190611600875</v>
      </c>
      <c r="N78" s="3">
        <v>7.9225662260169807E-6</v>
      </c>
      <c r="O78" s="2">
        <v>46049.439752824073</v>
      </c>
      <c r="P78" s="2">
        <v>46049.440460752317</v>
      </c>
      <c r="Q78" s="1" t="s">
        <v>96</v>
      </c>
      <c r="R78" s="1" t="s">
        <v>101</v>
      </c>
      <c r="T78">
        <f>H78-E78</f>
        <v>-2.226159554719942E-2</v>
      </c>
    </row>
    <row r="79" spans="1:20" x14ac:dyDescent="0.3">
      <c r="A79">
        <v>78</v>
      </c>
      <c r="B79">
        <v>3</v>
      </c>
      <c r="C79">
        <v>1769509994.6443801</v>
      </c>
      <c r="D79">
        <v>1769510055.80404</v>
      </c>
      <c r="E79">
        <v>58.159664814814697</v>
      </c>
      <c r="F79">
        <v>1769510144</v>
      </c>
      <c r="G79">
        <v>1769510205</v>
      </c>
      <c r="H79">
        <v>61.426000000000002</v>
      </c>
      <c r="I79">
        <v>-0.26633518518522598</v>
      </c>
      <c r="J79">
        <v>0.26633518518522598</v>
      </c>
      <c r="K79">
        <v>0.43452908721026801</v>
      </c>
      <c r="L79">
        <v>-149.19595313072199</v>
      </c>
      <c r="M79">
        <v>149.19595313072199</v>
      </c>
      <c r="N79" s="3">
        <v>8.4314834126903497E-6</v>
      </c>
      <c r="O79" s="2">
        <v>46049.439752824073</v>
      </c>
      <c r="P79" s="2">
        <v>46049.440460694444</v>
      </c>
      <c r="Q79" s="1" t="s">
        <v>97</v>
      </c>
      <c r="R79" s="1" t="s">
        <v>102</v>
      </c>
      <c r="T79">
        <f>H79-E79</f>
        <v>3.2663351851853051</v>
      </c>
    </row>
    <row r="80" spans="1:20" x14ac:dyDescent="0.3">
      <c r="A80">
        <v>79</v>
      </c>
      <c r="B80">
        <v>5</v>
      </c>
      <c r="C80">
        <v>1769509994.6466</v>
      </c>
      <c r="D80">
        <v>1769510055.8067501</v>
      </c>
      <c r="E80">
        <v>58.160157116450897</v>
      </c>
      <c r="F80">
        <v>1769510145</v>
      </c>
      <c r="G80">
        <v>1769510206</v>
      </c>
      <c r="H80">
        <v>60.689</v>
      </c>
      <c r="I80">
        <v>0.47115711645097402</v>
      </c>
      <c r="J80">
        <v>0.47115711645097402</v>
      </c>
      <c r="K80">
        <v>0.77334489232566594</v>
      </c>
      <c r="L80">
        <v>-150.193241357803</v>
      </c>
      <c r="M80">
        <v>150.193241357803</v>
      </c>
      <c r="N80" s="3">
        <v>8.4878429761306806E-6</v>
      </c>
      <c r="O80" s="2">
        <v>46049.439752858794</v>
      </c>
      <c r="P80" s="2">
        <v>46049.440460729165</v>
      </c>
      <c r="Q80" s="1" t="s">
        <v>98</v>
      </c>
      <c r="R80" s="1" t="s">
        <v>103</v>
      </c>
      <c r="T80">
        <f>H80-E80</f>
        <v>2.5288428835491032</v>
      </c>
    </row>
    <row r="81" spans="1:20" x14ac:dyDescent="0.3">
      <c r="A81">
        <v>80</v>
      </c>
      <c r="B81">
        <v>1</v>
      </c>
      <c r="C81">
        <v>1769509994.64698</v>
      </c>
      <c r="D81">
        <v>1769510055.8062699</v>
      </c>
      <c r="E81">
        <v>58.159287822878099</v>
      </c>
      <c r="F81">
        <v>1769510174</v>
      </c>
      <c r="G81">
        <v>1769510236</v>
      </c>
      <c r="H81">
        <v>62.069000000000003</v>
      </c>
      <c r="I81">
        <v>-0.90971217712181796</v>
      </c>
      <c r="J81">
        <v>0.90971217712181796</v>
      </c>
      <c r="K81">
        <v>1.4764664724213099</v>
      </c>
      <c r="L81">
        <v>-180.193724870681</v>
      </c>
      <c r="M81">
        <v>180.193724870681</v>
      </c>
      <c r="N81" s="3">
        <v>1.01832546870599E-5</v>
      </c>
      <c r="O81" s="2">
        <v>46049.439752858794</v>
      </c>
      <c r="P81" s="2">
        <v>46049.440460717589</v>
      </c>
      <c r="Q81" s="1" t="s">
        <v>99</v>
      </c>
      <c r="R81" s="1" t="s">
        <v>104</v>
      </c>
      <c r="T81">
        <f>H81-E81</f>
        <v>3.9097121771219037</v>
      </c>
    </row>
    <row r="82" spans="1:20" x14ac:dyDescent="0.3">
      <c r="A82">
        <v>81</v>
      </c>
      <c r="B82">
        <v>3</v>
      </c>
      <c r="C82">
        <v>1769510055.80404</v>
      </c>
      <c r="D82">
        <v>1769510116.9650099</v>
      </c>
      <c r="E82">
        <v>58.160963167587397</v>
      </c>
      <c r="F82">
        <v>1769510191</v>
      </c>
      <c r="G82">
        <v>1769510250</v>
      </c>
      <c r="H82">
        <v>59.054000000000002</v>
      </c>
      <c r="I82">
        <v>2.1069631675874301</v>
      </c>
      <c r="J82">
        <v>2.1069631675874301</v>
      </c>
      <c r="K82">
        <v>3.5053259795125302</v>
      </c>
      <c r="L82">
        <v>-133.03499007225</v>
      </c>
      <c r="M82">
        <v>133.03499007225</v>
      </c>
      <c r="N82" s="3">
        <v>7.5181816591995702E-6</v>
      </c>
      <c r="O82" s="2">
        <v>46049.440460694444</v>
      </c>
      <c r="P82" s="2">
        <v>46049.441168576392</v>
      </c>
      <c r="Q82" s="1" t="s">
        <v>100</v>
      </c>
      <c r="R82" s="1" t="s">
        <v>105</v>
      </c>
      <c r="T82">
        <f>H82-E82</f>
        <v>0.89303683241260501</v>
      </c>
    </row>
    <row r="83" spans="1:20" x14ac:dyDescent="0.3">
      <c r="A83">
        <v>82</v>
      </c>
      <c r="B83">
        <v>1</v>
      </c>
      <c r="C83">
        <v>1769510055.8062699</v>
      </c>
      <c r="D83">
        <v>1769510116.9633601</v>
      </c>
      <c r="E83">
        <v>58.157090073529297</v>
      </c>
      <c r="F83">
        <v>1769510196</v>
      </c>
      <c r="G83">
        <v>1769510253</v>
      </c>
      <c r="H83">
        <v>57.878999999999998</v>
      </c>
      <c r="I83">
        <v>3.2780900735293699</v>
      </c>
      <c r="J83">
        <v>3.2780900735293699</v>
      </c>
      <c r="K83">
        <v>5.5077247102193496</v>
      </c>
      <c r="L83">
        <v>-136.03663468360901</v>
      </c>
      <c r="M83">
        <v>136.03663468360901</v>
      </c>
      <c r="N83" s="3">
        <v>7.6878130365221498E-6</v>
      </c>
      <c r="O83" s="2">
        <v>46049.440460717589</v>
      </c>
      <c r="P83" s="2">
        <v>46049.44116855324</v>
      </c>
      <c r="Q83" s="1" t="s">
        <v>101</v>
      </c>
      <c r="R83" s="1" t="s">
        <v>106</v>
      </c>
      <c r="T83">
        <f>H83-E83</f>
        <v>-0.27809007352929882</v>
      </c>
    </row>
    <row r="84" spans="1:20" x14ac:dyDescent="0.3">
      <c r="A84">
        <v>83</v>
      </c>
      <c r="B84">
        <v>5</v>
      </c>
      <c r="C84">
        <v>1769510055.8067501</v>
      </c>
      <c r="D84">
        <v>1769510116.95783</v>
      </c>
      <c r="E84">
        <v>58.151075229357701</v>
      </c>
      <c r="F84">
        <v>1769510205</v>
      </c>
      <c r="G84">
        <v>1769510266</v>
      </c>
      <c r="H84">
        <v>60.573</v>
      </c>
      <c r="I84">
        <v>0.57807522935775002</v>
      </c>
      <c r="J84">
        <v>0.57807522935775002</v>
      </c>
      <c r="K84">
        <v>0.94981248083999203</v>
      </c>
      <c r="L84">
        <v>-149.04216623306201</v>
      </c>
      <c r="M84">
        <v>149.04216623306201</v>
      </c>
      <c r="N84" s="3">
        <v>8.4227921913519204E-6</v>
      </c>
      <c r="O84" s="2">
        <v>46049.440460729165</v>
      </c>
      <c r="P84" s="2">
        <v>46049.441168495374</v>
      </c>
      <c r="Q84" s="1" t="s">
        <v>102</v>
      </c>
      <c r="R84" s="1" t="s">
        <v>107</v>
      </c>
      <c r="T84">
        <f>H84-E84</f>
        <v>2.4219247706422991</v>
      </c>
    </row>
    <row r="85" spans="1:20" x14ac:dyDescent="0.3">
      <c r="A85">
        <v>84</v>
      </c>
      <c r="B85">
        <v>4</v>
      </c>
      <c r="C85">
        <v>1769510055.8093801</v>
      </c>
      <c r="D85">
        <v>1769510116.9593999</v>
      </c>
      <c r="E85">
        <v>58.150016483516403</v>
      </c>
      <c r="F85">
        <v>1769510206</v>
      </c>
      <c r="G85">
        <v>1769510267</v>
      </c>
      <c r="H85">
        <v>60.661000000000001</v>
      </c>
      <c r="I85">
        <v>0.48901648351643701</v>
      </c>
      <c r="J85">
        <v>0.48901648351643701</v>
      </c>
      <c r="K85">
        <v>0.80291011048678196</v>
      </c>
      <c r="L85">
        <v>-150.04059505462601</v>
      </c>
      <c r="M85">
        <v>150.04059505462601</v>
      </c>
      <c r="N85" s="3">
        <v>8.4792162110557302E-6</v>
      </c>
      <c r="O85" s="2">
        <v>46049.440460752317</v>
      </c>
      <c r="P85" s="2">
        <v>46049.441168506943</v>
      </c>
      <c r="Q85" s="1" t="s">
        <v>103</v>
      </c>
      <c r="R85" s="1" t="s">
        <v>108</v>
      </c>
      <c r="T85">
        <f>H85-E85</f>
        <v>2.5109835164835985</v>
      </c>
    </row>
    <row r="86" spans="1:20" x14ac:dyDescent="0.3">
      <c r="A86">
        <v>85</v>
      </c>
      <c r="B86">
        <v>2</v>
      </c>
      <c r="C86">
        <v>1769510055.8151801</v>
      </c>
      <c r="D86">
        <v>1769510116.9642999</v>
      </c>
      <c r="E86">
        <v>58.149122486288803</v>
      </c>
      <c r="F86">
        <v>1769510236</v>
      </c>
      <c r="G86">
        <v>1769510301</v>
      </c>
      <c r="H86">
        <v>65.665999999999997</v>
      </c>
      <c r="I86">
        <v>-4.5168775137111901</v>
      </c>
      <c r="J86">
        <v>4.5168775137111901</v>
      </c>
      <c r="K86">
        <v>7.1235629082005598</v>
      </c>
      <c r="L86">
        <v>-184.035695075988</v>
      </c>
      <c r="M86">
        <v>184.035695075988</v>
      </c>
      <c r="N86" s="3">
        <v>1.0400374868808901E-5</v>
      </c>
      <c r="O86" s="2">
        <v>46049.440460821759</v>
      </c>
      <c r="P86" s="2">
        <v>46049.441168564816</v>
      </c>
      <c r="Q86" s="1" t="s">
        <v>104</v>
      </c>
      <c r="R86" s="1" t="s">
        <v>109</v>
      </c>
      <c r="T86">
        <f>H86-E86</f>
        <v>7.5168775137111936</v>
      </c>
    </row>
    <row r="87" spans="1:20" x14ac:dyDescent="0.3">
      <c r="A87">
        <v>86</v>
      </c>
      <c r="B87">
        <v>5</v>
      </c>
      <c r="C87">
        <v>1769510116.95783</v>
      </c>
      <c r="D87">
        <v>1769510178.11519</v>
      </c>
      <c r="E87">
        <v>58.157364963503603</v>
      </c>
      <c r="F87">
        <v>1769510250</v>
      </c>
      <c r="G87">
        <v>1769510306</v>
      </c>
      <c r="H87">
        <v>55.856000000000002</v>
      </c>
      <c r="I87">
        <v>5.3013649635036</v>
      </c>
      <c r="J87">
        <v>5.3013649635036</v>
      </c>
      <c r="K87">
        <v>9.0611272740632494</v>
      </c>
      <c r="L87">
        <v>-127.884801387786</v>
      </c>
      <c r="M87">
        <v>127.884801387786</v>
      </c>
      <c r="N87" s="3">
        <v>7.2271297643963604E-6</v>
      </c>
      <c r="O87" s="2">
        <v>46049.441168495374</v>
      </c>
      <c r="P87" s="2">
        <v>46049.441876331017</v>
      </c>
      <c r="Q87" s="1" t="s">
        <v>105</v>
      </c>
      <c r="R87" s="1" t="s">
        <v>110</v>
      </c>
      <c r="T87">
        <f>H87-E87</f>
        <v>-2.3013649635036018</v>
      </c>
    </row>
    <row r="88" spans="1:20" x14ac:dyDescent="0.3">
      <c r="A88">
        <v>87</v>
      </c>
      <c r="B88">
        <v>4</v>
      </c>
      <c r="C88">
        <v>1769510116.9593999</v>
      </c>
      <c r="D88">
        <v>1769510178.10711</v>
      </c>
      <c r="E88">
        <v>58.147708561019897</v>
      </c>
      <c r="F88">
        <v>1769510253</v>
      </c>
      <c r="G88">
        <v>1769510310</v>
      </c>
      <c r="H88">
        <v>56.268000000000001</v>
      </c>
      <c r="I88">
        <v>4.8797085610199797</v>
      </c>
      <c r="J88">
        <v>4.8797085610199797</v>
      </c>
      <c r="K88">
        <v>8.3118496167555698</v>
      </c>
      <c r="L88">
        <v>-131.89288640022201</v>
      </c>
      <c r="M88">
        <v>131.89288640022201</v>
      </c>
      <c r="N88" s="3">
        <v>7.45363791158876E-6</v>
      </c>
      <c r="O88" s="2">
        <v>46049.441168506943</v>
      </c>
      <c r="P88" s="2">
        <v>46049.441876238423</v>
      </c>
      <c r="Q88" s="1" t="s">
        <v>106</v>
      </c>
      <c r="R88" s="1" t="s">
        <v>111</v>
      </c>
      <c r="T88">
        <f>H88-E88</f>
        <v>-1.8797085610198963</v>
      </c>
    </row>
    <row r="89" spans="1:20" x14ac:dyDescent="0.3">
      <c r="A89">
        <v>88</v>
      </c>
      <c r="B89">
        <v>1</v>
      </c>
      <c r="C89">
        <v>1769510116.9633601</v>
      </c>
      <c r="D89">
        <v>1769510178.1022</v>
      </c>
      <c r="E89">
        <v>58.138836363636301</v>
      </c>
      <c r="F89">
        <v>1769510266</v>
      </c>
      <c r="G89">
        <v>1769510323</v>
      </c>
      <c r="H89">
        <v>57.844000000000001</v>
      </c>
      <c r="I89">
        <v>3.2948363636363101</v>
      </c>
      <c r="J89">
        <v>3.2948363636363101</v>
      </c>
      <c r="K89">
        <v>5.5383389139700903</v>
      </c>
      <c r="L89">
        <v>-144.897798299789</v>
      </c>
      <c r="M89">
        <v>144.897798299789</v>
      </c>
      <c r="N89" s="3">
        <v>8.18858202458347E-6</v>
      </c>
      <c r="O89" s="2">
        <v>46049.44116855324</v>
      </c>
      <c r="P89" s="2">
        <v>46049.441876180557</v>
      </c>
      <c r="Q89" s="1" t="s">
        <v>107</v>
      </c>
      <c r="R89" s="1" t="s">
        <v>112</v>
      </c>
      <c r="T89">
        <f>H89-E89</f>
        <v>-0.29483636363629984</v>
      </c>
    </row>
    <row r="90" spans="1:20" x14ac:dyDescent="0.3">
      <c r="A90">
        <v>89</v>
      </c>
      <c r="B90">
        <v>2</v>
      </c>
      <c r="C90">
        <v>1769510116.9642999</v>
      </c>
      <c r="D90">
        <v>1769510178.0971601</v>
      </c>
      <c r="E90">
        <v>58.132856624319302</v>
      </c>
      <c r="F90">
        <v>1769510267</v>
      </c>
      <c r="G90">
        <v>1769510324</v>
      </c>
      <c r="H90">
        <v>57.646000000000001</v>
      </c>
      <c r="I90">
        <v>3.4868566243193699</v>
      </c>
      <c r="J90">
        <v>3.4868566243193699</v>
      </c>
      <c r="K90">
        <v>5.87117391666398</v>
      </c>
      <c r="L90">
        <v>-145.90283846855101</v>
      </c>
      <c r="M90">
        <v>145.90283846855101</v>
      </c>
      <c r="N90" s="3">
        <v>8.2453796683060798E-6</v>
      </c>
      <c r="O90" s="2">
        <v>46049.441168564816</v>
      </c>
      <c r="P90" s="2">
        <v>46049.441876122684</v>
      </c>
      <c r="Q90" s="1" t="s">
        <v>108</v>
      </c>
      <c r="R90" s="1" t="s">
        <v>113</v>
      </c>
      <c r="T90">
        <f>H90-E90</f>
        <v>-0.48685662431930155</v>
      </c>
    </row>
    <row r="91" spans="1:20" x14ac:dyDescent="0.3">
      <c r="A91">
        <v>90</v>
      </c>
      <c r="B91">
        <v>3</v>
      </c>
      <c r="C91">
        <v>1769510116.9650099</v>
      </c>
      <c r="D91">
        <v>1769510178.0915401</v>
      </c>
      <c r="E91">
        <v>58.126539855072402</v>
      </c>
      <c r="F91">
        <v>1769510301</v>
      </c>
      <c r="G91">
        <v>1769510364</v>
      </c>
      <c r="H91">
        <v>63.357999999999997</v>
      </c>
      <c r="I91">
        <v>-2.2314601449275799</v>
      </c>
      <c r="J91">
        <v>2.2314601449275799</v>
      </c>
      <c r="K91">
        <v>3.5851201241945301</v>
      </c>
      <c r="L91">
        <v>-185.90845012664701</v>
      </c>
      <c r="M91">
        <v>185.90845012664701</v>
      </c>
      <c r="N91" s="3">
        <v>1.0506209156772801E-5</v>
      </c>
      <c r="O91" s="2">
        <v>46049.441168576392</v>
      </c>
      <c r="P91" s="2">
        <v>46049.441876064811</v>
      </c>
      <c r="Q91" s="1" t="s">
        <v>109</v>
      </c>
      <c r="R91" s="1" t="s">
        <v>114</v>
      </c>
      <c r="T91">
        <f>H91-E91</f>
        <v>5.2314601449275955</v>
      </c>
    </row>
    <row r="92" spans="1:20" x14ac:dyDescent="0.3">
      <c r="A92">
        <v>91</v>
      </c>
      <c r="B92">
        <v>3</v>
      </c>
      <c r="C92">
        <v>1769510178.0915401</v>
      </c>
      <c r="D92">
        <v>1769510239.22212</v>
      </c>
      <c r="E92">
        <v>58.130575045207898</v>
      </c>
      <c r="F92">
        <v>1769510306</v>
      </c>
      <c r="G92">
        <v>1769510362</v>
      </c>
      <c r="H92">
        <v>56.703000000000003</v>
      </c>
      <c r="I92">
        <v>4.4275750452078997</v>
      </c>
      <c r="J92">
        <v>4.4275750452078997</v>
      </c>
      <c r="K92">
        <v>7.5149634448572398</v>
      </c>
      <c r="L92">
        <v>-122.77787518501199</v>
      </c>
      <c r="M92">
        <v>122.77787518501199</v>
      </c>
      <c r="N92" s="3">
        <v>6.93852277336922E-6</v>
      </c>
      <c r="O92" s="2">
        <v>46049.441876064811</v>
      </c>
      <c r="P92" s="2">
        <v>46049.442583587967</v>
      </c>
      <c r="Q92" s="1" t="s">
        <v>110</v>
      </c>
      <c r="R92" s="1" t="s">
        <v>115</v>
      </c>
      <c r="T92">
        <f>H92-E92</f>
        <v>-1.4275750452078952</v>
      </c>
    </row>
    <row r="93" spans="1:20" x14ac:dyDescent="0.3">
      <c r="A93">
        <v>92</v>
      </c>
      <c r="B93">
        <v>2</v>
      </c>
      <c r="C93">
        <v>1769510178.0971601</v>
      </c>
      <c r="D93">
        <v>1769510239.2197399</v>
      </c>
      <c r="E93">
        <v>58.122583032490901</v>
      </c>
      <c r="F93">
        <v>1769510310</v>
      </c>
      <c r="G93">
        <v>1769510369</v>
      </c>
      <c r="H93">
        <v>59.008000000000003</v>
      </c>
      <c r="I93">
        <v>2.1145830324909198</v>
      </c>
      <c r="J93">
        <v>2.1145830324909198</v>
      </c>
      <c r="K93">
        <v>3.52047410261715</v>
      </c>
      <c r="L93">
        <v>-129.78025531768799</v>
      </c>
      <c r="M93">
        <v>129.78025531768799</v>
      </c>
      <c r="N93" s="3">
        <v>7.3342469391819699E-6</v>
      </c>
      <c r="O93" s="2">
        <v>46049.441876122684</v>
      </c>
      <c r="P93" s="2">
        <v>46049.442583564814</v>
      </c>
      <c r="Q93" s="1" t="s">
        <v>111</v>
      </c>
      <c r="R93" s="1" t="s">
        <v>116</v>
      </c>
      <c r="T93">
        <f>H93-E93</f>
        <v>0.88541696750910148</v>
      </c>
    </row>
    <row r="94" spans="1:20" x14ac:dyDescent="0.3">
      <c r="A94">
        <v>93</v>
      </c>
      <c r="B94">
        <v>1</v>
      </c>
      <c r="C94">
        <v>1769510178.1022</v>
      </c>
      <c r="D94">
        <v>1769510239.2209699</v>
      </c>
      <c r="E94">
        <v>58.118772972972899</v>
      </c>
      <c r="F94">
        <v>1769510323</v>
      </c>
      <c r="G94">
        <v>1769510380</v>
      </c>
      <c r="H94">
        <v>56.454999999999998</v>
      </c>
      <c r="I94">
        <v>4.6637729729729198</v>
      </c>
      <c r="J94">
        <v>4.6637729729729198</v>
      </c>
      <c r="K94">
        <v>7.9333559773487901</v>
      </c>
      <c r="L94">
        <v>-140.77902531623801</v>
      </c>
      <c r="M94">
        <v>140.77902531623801</v>
      </c>
      <c r="N94" s="3">
        <v>7.9558183160417503E-6</v>
      </c>
      <c r="O94" s="2">
        <v>46049.441876180557</v>
      </c>
      <c r="P94" s="2">
        <v>46049.44258357639</v>
      </c>
      <c r="Q94" s="1" t="s">
        <v>112</v>
      </c>
      <c r="R94" s="1" t="s">
        <v>117</v>
      </c>
      <c r="T94">
        <f>H94-E94</f>
        <v>-1.6637729729729003</v>
      </c>
    </row>
    <row r="95" spans="1:20" x14ac:dyDescent="0.3">
      <c r="A95">
        <v>94</v>
      </c>
      <c r="B95">
        <v>4</v>
      </c>
      <c r="C95">
        <v>1769510178.10711</v>
      </c>
      <c r="D95">
        <v>1769510239.21749</v>
      </c>
      <c r="E95">
        <v>58.110384892086202</v>
      </c>
      <c r="F95">
        <v>1769510324</v>
      </c>
      <c r="G95">
        <v>1769510383</v>
      </c>
      <c r="H95">
        <v>58.62</v>
      </c>
      <c r="I95">
        <v>2.4903848920862801</v>
      </c>
      <c r="J95">
        <v>2.4903848920862801</v>
      </c>
      <c r="K95">
        <v>4.1599881171865896</v>
      </c>
      <c r="L95">
        <v>-143.78250145912099</v>
      </c>
      <c r="M95">
        <v>143.78250145912099</v>
      </c>
      <c r="N95" s="3">
        <v>8.1255531858997494E-6</v>
      </c>
      <c r="O95" s="2">
        <v>46049.441876238423</v>
      </c>
      <c r="P95" s="2">
        <v>46049.442583530094</v>
      </c>
      <c r="Q95" s="1" t="s">
        <v>113</v>
      </c>
      <c r="R95" s="1" t="s">
        <v>118</v>
      </c>
      <c r="T95">
        <f>H95-E95</f>
        <v>0.50961510791379538</v>
      </c>
    </row>
    <row r="96" spans="1:20" x14ac:dyDescent="0.3">
      <c r="A96">
        <v>95</v>
      </c>
      <c r="B96">
        <v>5</v>
      </c>
      <c r="C96">
        <v>1769510178.11519</v>
      </c>
      <c r="D96">
        <v>1769510239.2211101</v>
      </c>
      <c r="E96">
        <v>58.105913824057403</v>
      </c>
      <c r="F96">
        <v>1769510362</v>
      </c>
      <c r="G96">
        <v>1769510420</v>
      </c>
      <c r="H96">
        <v>58.02</v>
      </c>
      <c r="I96">
        <v>3.0859138240573998</v>
      </c>
      <c r="J96">
        <v>3.0859138240573998</v>
      </c>
      <c r="K96">
        <v>5.1809278518780202</v>
      </c>
      <c r="L96">
        <v>-180.778887510299</v>
      </c>
      <c r="M96">
        <v>180.778887510299</v>
      </c>
      <c r="N96" s="3">
        <v>1.02163228145769E-5</v>
      </c>
      <c r="O96" s="2">
        <v>46049.441876331017</v>
      </c>
      <c r="P96" s="2">
        <v>46049.44258357639</v>
      </c>
      <c r="Q96" s="1" t="s">
        <v>115</v>
      </c>
      <c r="R96" s="1" t="s">
        <v>119</v>
      </c>
      <c r="T96">
        <f t="shared" ref="T96:T98" si="1">H96-E96</f>
        <v>-8.5913824057399779E-2</v>
      </c>
    </row>
    <row r="97" spans="1:20" x14ac:dyDescent="0.3">
      <c r="A97">
        <v>96</v>
      </c>
      <c r="B97">
        <v>4</v>
      </c>
      <c r="C97">
        <v>1769510239.21749</v>
      </c>
      <c r="D97">
        <v>1769510310.0045199</v>
      </c>
      <c r="E97">
        <v>70.787028649385903</v>
      </c>
      <c r="F97">
        <v>1769510364</v>
      </c>
      <c r="G97">
        <v>1769510403</v>
      </c>
      <c r="H97">
        <v>39.575000000000003</v>
      </c>
      <c r="I97">
        <v>31.2120286493859</v>
      </c>
      <c r="J97">
        <v>31.2120286493859</v>
      </c>
      <c r="K97">
        <v>56.562984626795497</v>
      </c>
      <c r="L97">
        <v>-92.995472908020005</v>
      </c>
      <c r="M97">
        <v>92.995472908020005</v>
      </c>
      <c r="N97" s="3">
        <v>5.25543535624404E-6</v>
      </c>
      <c r="O97" s="2">
        <v>46049.442583530094</v>
      </c>
      <c r="P97" s="2">
        <v>46049.443402835648</v>
      </c>
      <c r="Q97" s="1" t="s">
        <v>114</v>
      </c>
      <c r="R97" s="1" t="s">
        <v>120</v>
      </c>
      <c r="T97">
        <f t="shared" si="1"/>
        <v>-31.2120286493859</v>
      </c>
    </row>
    <row r="98" spans="1:20" x14ac:dyDescent="0.3">
      <c r="A98">
        <v>97</v>
      </c>
      <c r="B98">
        <v>2</v>
      </c>
      <c r="C98">
        <v>1769510239.2197399</v>
      </c>
      <c r="D98">
        <v>1769510309.9642501</v>
      </c>
      <c r="E98">
        <v>70.744505449591102</v>
      </c>
      <c r="F98">
        <v>1769510369</v>
      </c>
      <c r="G98">
        <v>1769510388</v>
      </c>
      <c r="H98">
        <v>19.050999999999998</v>
      </c>
      <c r="I98">
        <v>51.6935054495911</v>
      </c>
      <c r="J98">
        <v>51.6935054495911</v>
      </c>
      <c r="K98">
        <v>115.13606430693901</v>
      </c>
      <c r="L98">
        <v>-78.035749912261906</v>
      </c>
      <c r="M98">
        <v>78.035749912261906</v>
      </c>
      <c r="N98" s="3">
        <v>4.4100194134015903E-6</v>
      </c>
      <c r="O98" s="2">
        <v>46049.442583564814</v>
      </c>
      <c r="P98" s="2">
        <v>46049.44340236111</v>
      </c>
      <c r="Q98" s="1" t="s">
        <v>116</v>
      </c>
      <c r="R98" s="1" t="s">
        <v>121</v>
      </c>
      <c r="T98">
        <f t="shared" si="1"/>
        <v>-51.6935054495911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2026-06-21T15:55:22Z</dcterms:modified>
</cp:coreProperties>
</file>