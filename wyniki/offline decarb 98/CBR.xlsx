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30" documentId="11_AD4DADEC636C813AC809E415181B7BC65BDEDD96" xr6:coauthVersionLast="47" xr6:coauthVersionMax="47" xr10:uidLastSave="{629B79FD-F18F-4C34-BC9C-38AC746FEDF1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<sst xmlns="http://schemas.openxmlformats.org/spreadsheetml/2006/main" count="217" uniqueCount="127">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</sst>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111.872</c:v>
                </c:pt>
                <c:pt idx="1">
                  <c:v>111.894666666666</c:v>
                </c:pt>
                <c:pt idx="2">
                  <c:v>109.874666666666</c:v>
                </c:pt>
                <c:pt idx="3">
                  <c:v>20.225000000000001</c:v>
                </c:pt>
                <c:pt idx="4">
                  <c:v>20.225000000000001</c:v>
                </c:pt>
                <c:pt idx="5">
                  <c:v>20.225000000000001</c:v>
                </c:pt>
                <c:pt idx="6">
                  <c:v>20.225000000000001</c:v>
                </c:pt>
                <c:pt idx="7">
                  <c:v>20.225000000000001</c:v>
                </c:pt>
                <c:pt idx="8">
                  <c:v>20.225000000000001</c:v>
                </c:pt>
                <c:pt idx="9">
                  <c:v>20.225000000000001</c:v>
                </c:pt>
                <c:pt idx="10">
                  <c:v>20.225000000000001</c:v>
                </c:pt>
                <c:pt idx="11">
                  <c:v>20.225000000000001</c:v>
                </c:pt>
                <c:pt idx="12">
                  <c:v>20.225000000000001</c:v>
                </c:pt>
                <c:pt idx="13">
                  <c:v>20.225000000000001</c:v>
                </c:pt>
                <c:pt idx="14">
                  <c:v>20.225000000000001</c:v>
                </c:pt>
                <c:pt idx="15">
                  <c:v>20.225000000000001</c:v>
                </c:pt>
                <c:pt idx="16">
                  <c:v>20.225000000000001</c:v>
                </c:pt>
                <c:pt idx="17">
                  <c:v>20.225000000000001</c:v>
                </c:pt>
                <c:pt idx="18">
                  <c:v>20.225000000000001</c:v>
                </c:pt>
                <c:pt idx="19">
                  <c:v>20.225000000000001</c:v>
                </c:pt>
                <c:pt idx="20">
                  <c:v>61.854666666666603</c:v>
                </c:pt>
                <c:pt idx="21">
                  <c:v>60.805999999999997</c:v>
                </c:pt>
                <c:pt idx="22">
                  <c:v>59.686999999999998</c:v>
                </c:pt>
                <c:pt idx="23">
                  <c:v>56.861666666666601</c:v>
                </c:pt>
                <c:pt idx="24">
                  <c:v>65.699666666666602</c:v>
                </c:pt>
                <c:pt idx="25">
                  <c:v>61.627666666666599</c:v>
                </c:pt>
                <c:pt idx="26">
                  <c:v>60.524000000000001</c:v>
                </c:pt>
                <c:pt idx="27">
                  <c:v>61.620333333333299</c:v>
                </c:pt>
                <c:pt idx="28">
                  <c:v>55.815999999999903</c:v>
                </c:pt>
                <c:pt idx="29">
                  <c:v>63.9329999999999</c:v>
                </c:pt>
                <c:pt idx="30">
                  <c:v>57.914666666666598</c:v>
                </c:pt>
                <c:pt idx="31">
                  <c:v>59.478333333333303</c:v>
                </c:pt>
                <c:pt idx="32">
                  <c:v>60.695999999999998</c:v>
                </c:pt>
                <c:pt idx="33">
                  <c:v>61.7753333333333</c:v>
                </c:pt>
                <c:pt idx="34">
                  <c:v>58.037666666666603</c:v>
                </c:pt>
                <c:pt idx="35">
                  <c:v>58.945666666666597</c:v>
                </c:pt>
                <c:pt idx="36">
                  <c:v>57.713999999999999</c:v>
                </c:pt>
                <c:pt idx="37">
                  <c:v>62.773000000000003</c:v>
                </c:pt>
                <c:pt idx="38">
                  <c:v>62.485333333333301</c:v>
                </c:pt>
                <c:pt idx="39">
                  <c:v>60.137666666666597</c:v>
                </c:pt>
                <c:pt idx="40">
                  <c:v>58.074999999999903</c:v>
                </c:pt>
                <c:pt idx="41">
                  <c:v>67.607666666666603</c:v>
                </c:pt>
                <c:pt idx="42">
                  <c:v>68.709000000000003</c:v>
                </c:pt>
                <c:pt idx="43">
                  <c:v>59.751666666666601</c:v>
                </c:pt>
                <c:pt idx="44">
                  <c:v>60.359000000000002</c:v>
                </c:pt>
                <c:pt idx="45">
                  <c:v>64.506</c:v>
                </c:pt>
                <c:pt idx="46">
                  <c:v>56.943999999999903</c:v>
                </c:pt>
                <c:pt idx="47">
                  <c:v>60.589666666666602</c:v>
                </c:pt>
                <c:pt idx="48">
                  <c:v>70.254666666666594</c:v>
                </c:pt>
                <c:pt idx="49">
                  <c:v>68.019666666666595</c:v>
                </c:pt>
                <c:pt idx="50">
                  <c:v>63.562666666666601</c:v>
                </c:pt>
                <c:pt idx="51">
                  <c:v>59.523333333333298</c:v>
                </c:pt>
                <c:pt idx="52">
                  <c:v>60.700333333333298</c:v>
                </c:pt>
                <c:pt idx="53">
                  <c:v>57.817</c:v>
                </c:pt>
                <c:pt idx="54">
                  <c:v>60.655666666666598</c:v>
                </c:pt>
                <c:pt idx="55">
                  <c:v>56.690333333333299</c:v>
                </c:pt>
                <c:pt idx="56">
                  <c:v>60.2083333333333</c:v>
                </c:pt>
                <c:pt idx="57">
                  <c:v>58.604999999999997</c:v>
                </c:pt>
                <c:pt idx="58">
                  <c:v>68.212000000000003</c:v>
                </c:pt>
                <c:pt idx="59">
                  <c:v>56.095999999999997</c:v>
                </c:pt>
                <c:pt idx="60">
                  <c:v>57.673000000000002</c:v>
                </c:pt>
                <c:pt idx="61">
                  <c:v>60.982666666666603</c:v>
                </c:pt>
                <c:pt idx="62">
                  <c:v>60.275666666666602</c:v>
                </c:pt>
                <c:pt idx="63">
                  <c:v>57.673999999999999</c:v>
                </c:pt>
                <c:pt idx="64">
                  <c:v>65.72</c:v>
                </c:pt>
                <c:pt idx="65">
                  <c:v>60.536666666666598</c:v>
                </c:pt>
                <c:pt idx="66">
                  <c:v>57.179000000000002</c:v>
                </c:pt>
                <c:pt idx="67">
                  <c:v>63.778666666666602</c:v>
                </c:pt>
                <c:pt idx="68">
                  <c:v>59.580999999999896</c:v>
                </c:pt>
                <c:pt idx="69">
                  <c:v>61.330666666666602</c:v>
                </c:pt>
                <c:pt idx="70">
                  <c:v>60.941333333333297</c:v>
                </c:pt>
                <c:pt idx="71">
                  <c:v>60.203333333333298</c:v>
                </c:pt>
                <c:pt idx="72">
                  <c:v>60.597666666666598</c:v>
                </c:pt>
                <c:pt idx="73">
                  <c:v>64.123000000000005</c:v>
                </c:pt>
                <c:pt idx="74">
                  <c:v>60.955666666666602</c:v>
                </c:pt>
                <c:pt idx="75">
                  <c:v>61.426666666666598</c:v>
                </c:pt>
                <c:pt idx="76">
                  <c:v>59.764333333333298</c:v>
                </c:pt>
                <c:pt idx="77">
                  <c:v>60.858666666666601</c:v>
                </c:pt>
                <c:pt idx="78">
                  <c:v>72.081000000000003</c:v>
                </c:pt>
                <c:pt idx="79">
                  <c:v>60.329666666666597</c:v>
                </c:pt>
                <c:pt idx="80">
                  <c:v>63.0253333333333</c:v>
                </c:pt>
                <c:pt idx="81">
                  <c:v>61.2826666666666</c:v>
                </c:pt>
                <c:pt idx="82">
                  <c:v>60.681666666666601</c:v>
                </c:pt>
                <c:pt idx="83">
                  <c:v>59.009333333333302</c:v>
                </c:pt>
                <c:pt idx="84">
                  <c:v>57.362333333333297</c:v>
                </c:pt>
                <c:pt idx="85">
                  <c:v>64.384999999999906</c:v>
                </c:pt>
                <c:pt idx="86">
                  <c:v>60.439333333333302</c:v>
                </c:pt>
                <c:pt idx="87">
                  <c:v>61.197666666666599</c:v>
                </c:pt>
                <c:pt idx="88">
                  <c:v>70.403000000000006</c:v>
                </c:pt>
                <c:pt idx="89">
                  <c:v>63.624333333333297</c:v>
                </c:pt>
                <c:pt idx="90">
                  <c:v>60.597666666666598</c:v>
                </c:pt>
                <c:pt idx="91">
                  <c:v>61.033666666666598</c:v>
                </c:pt>
                <c:pt idx="92">
                  <c:v>57.742666666666601</c:v>
                </c:pt>
                <c:pt idx="93">
                  <c:v>59.303666666666601</c:v>
                </c:pt>
                <c:pt idx="94">
                  <c:v>63.117666666666601</c:v>
                </c:pt>
                <c:pt idx="95">
                  <c:v>20.225000000000001</c:v>
                </c:pt>
                <c:pt idx="96">
                  <c:v>20.225000000000001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8</xdr:row>
      <xdr:rowOff>134470</xdr:rowOff>
    </xdr:from>
    <xdr:to>
      <xdr:col>24</xdr:col>
      <xdr:colOff>394447</xdr:colOff>
      <xdr:row>39</xdr:row>
      <xdr:rowOff>35857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5"/>
  <sheetViews>
    <sheetView tabSelected="1" topLeftCell="E1" zoomScale="85" zoomScaleNormal="85" workbookViewId="0">
      <selection activeCell="Y7" sqref="Y7"/>
    </sheetView>
  </sheetViews>
  <sheetFormatPr defaultRowHeight="14.4" x14ac:dyDescent="0.3"/>
  <cols>
    <col min="5" max="5" width="25.33203125" bestFit="1" customWidth="1"/>
    <col min="7" max="7" width="13.21875" bestFit="1" customWidth="1"/>
    <col min="18" max="18" width="18.88671875" customWidth="1"/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1769509146.872</v>
      </c>
      <c r="E2">
        <v>111.872</v>
      </c>
      <c r="F2">
        <v>1769509035</v>
      </c>
      <c r="G2">
        <v>1769509057</v>
      </c>
      <c r="H2">
        <v>22.452000000000002</v>
      </c>
      <c r="I2">
        <v>89.42</v>
      </c>
      <c r="J2">
        <v>89.42</v>
      </c>
      <c r="K2">
        <v>133.14076412256901</v>
      </c>
      <c r="L2">
        <v>89.871999979019094</v>
      </c>
      <c r="M2">
        <v>89.871999979019094</v>
      </c>
      <c r="N2" s="2">
        <v>5.0789227295124502E-6</v>
      </c>
      <c r="O2" s="3">
        <v>46049.42864583333</v>
      </c>
      <c r="P2" s="3">
        <v>46049.429940648151</v>
      </c>
      <c r="Q2" s="1" t="s">
        <v>18</v>
      </c>
      <c r="R2" s="1" t="s">
        <v>19</v>
      </c>
      <c r="T2">
        <f>H2-E2</f>
        <v>-89.42</v>
      </c>
      <c r="U2">
        <f>AVERAGE(T2:T98)</f>
        <v>-1.3957079037800213</v>
      </c>
      <c r="V2">
        <f>MEDIAN(T2:T98)</f>
        <v>-1.0553333333333015</v>
      </c>
      <c r="W2">
        <f>COUNTIF(T2:T98,"&lt;0")/COUNT(T2:T98)</f>
        <v>0.60824742268041232</v>
      </c>
      <c r="X2">
        <f>COUNTIF(T2:T98,"&gt;0")/COUNT(T2:T98)</f>
        <v>0.39175257731958762</v>
      </c>
    </row>
    <row r="3" spans="1:24" x14ac:dyDescent="0.3">
      <c r="A3">
        <v>2</v>
      </c>
      <c r="B3">
        <v>2</v>
      </c>
      <c r="C3">
        <v>1769509035</v>
      </c>
      <c r="D3">
        <v>1769509146.89466</v>
      </c>
      <c r="E3">
        <v>111.894666666666</v>
      </c>
      <c r="F3">
        <v>1769509035</v>
      </c>
      <c r="G3">
        <v>1769509057</v>
      </c>
      <c r="H3">
        <v>22.788</v>
      </c>
      <c r="I3">
        <v>89.106666666666598</v>
      </c>
      <c r="J3">
        <v>89.106666666666598</v>
      </c>
      <c r="K3">
        <v>132.32091236684701</v>
      </c>
      <c r="L3">
        <v>89.894666671752901</v>
      </c>
      <c r="M3">
        <v>89.894666671752901</v>
      </c>
      <c r="N3" s="2">
        <v>5.0802036888549704E-6</v>
      </c>
      <c r="O3" s="3">
        <v>46049.42864583333</v>
      </c>
      <c r="P3" s="3">
        <v>46049.42994091435</v>
      </c>
      <c r="Q3" s="1" t="s">
        <v>18</v>
      </c>
      <c r="R3" s="1" t="s">
        <v>19</v>
      </c>
      <c r="T3">
        <f t="shared" ref="T3:T66" si="0">H3-E3</f>
        <v>-89.106666666666001</v>
      </c>
    </row>
    <row r="4" spans="1:24" x14ac:dyDescent="0.3">
      <c r="A4">
        <v>3</v>
      </c>
      <c r="B4">
        <v>3</v>
      </c>
      <c r="C4">
        <v>1769509035</v>
      </c>
      <c r="D4">
        <v>1769509144.87466</v>
      </c>
      <c r="E4">
        <v>109.874666666666</v>
      </c>
      <c r="F4">
        <v>1769509035</v>
      </c>
      <c r="G4">
        <v>1769509050</v>
      </c>
      <c r="H4">
        <v>15.435</v>
      </c>
      <c r="I4">
        <v>94.439666666666596</v>
      </c>
      <c r="J4">
        <v>94.439666666666596</v>
      </c>
      <c r="K4">
        <v>150.73005806947501</v>
      </c>
      <c r="L4">
        <v>94.874666690826402</v>
      </c>
      <c r="M4">
        <v>94.874666690826402</v>
      </c>
      <c r="N4" s="2">
        <v>5.3616376896975099E-6</v>
      </c>
      <c r="O4" s="3">
        <v>46049.42864583333</v>
      </c>
      <c r="P4" s="3">
        <v>46049.429917534719</v>
      </c>
      <c r="Q4" s="1" t="s">
        <v>18</v>
      </c>
      <c r="R4" s="1" t="s">
        <v>20</v>
      </c>
      <c r="T4">
        <f t="shared" si="0"/>
        <v>-94.439666666666</v>
      </c>
    </row>
    <row r="5" spans="1:24" x14ac:dyDescent="0.3">
      <c r="A5">
        <v>4</v>
      </c>
      <c r="B5">
        <v>4</v>
      </c>
      <c r="C5">
        <v>1769509035</v>
      </c>
      <c r="D5">
        <v>1769509055.2249999</v>
      </c>
      <c r="E5">
        <v>20.225000000000001</v>
      </c>
      <c r="F5">
        <v>1769509037</v>
      </c>
      <c r="G5">
        <v>1769509057</v>
      </c>
      <c r="H5">
        <v>20.122</v>
      </c>
      <c r="I5">
        <v>0.10300000000000099</v>
      </c>
      <c r="J5">
        <v>0.10300000000000099</v>
      </c>
      <c r="K5">
        <v>0.510570798324542</v>
      </c>
      <c r="L5">
        <v>-1.7750000953674301</v>
      </c>
      <c r="M5">
        <v>1.7750000953674301</v>
      </c>
      <c r="N5" s="2">
        <v>1.00310314278187E-7</v>
      </c>
      <c r="O5" s="3">
        <v>46049.42864583333</v>
      </c>
      <c r="P5" s="3">
        <v>46049.428879918982</v>
      </c>
      <c r="Q5" s="1" t="s">
        <v>21</v>
      </c>
      <c r="R5" s="1" t="s">
        <v>19</v>
      </c>
      <c r="T5">
        <f t="shared" si="0"/>
        <v>-0.10300000000000153</v>
      </c>
    </row>
    <row r="6" spans="1:24" x14ac:dyDescent="0.3">
      <c r="A6">
        <v>5</v>
      </c>
      <c r="B6">
        <v>5</v>
      </c>
      <c r="C6">
        <v>1769509035</v>
      </c>
      <c r="D6">
        <v>1769509055.2249999</v>
      </c>
      <c r="E6">
        <v>20.225000000000001</v>
      </c>
      <c r="F6">
        <v>1769509038</v>
      </c>
      <c r="G6">
        <v>1769509066</v>
      </c>
      <c r="H6">
        <v>28.341000000000001</v>
      </c>
      <c r="I6">
        <v>-8.1159999999999997</v>
      </c>
      <c r="J6">
        <v>8.1159999999999997</v>
      </c>
      <c r="K6">
        <v>33.4225589918873</v>
      </c>
      <c r="L6">
        <v>-10.7750000953674</v>
      </c>
      <c r="M6">
        <v>10.7750000953674</v>
      </c>
      <c r="N6" s="2">
        <v>6.0892596343291701E-7</v>
      </c>
      <c r="O6" s="3">
        <v>46049.42864583333</v>
      </c>
      <c r="P6" s="3">
        <v>46049.428879918982</v>
      </c>
      <c r="Q6" s="1" t="s">
        <v>22</v>
      </c>
      <c r="R6" s="1" t="s">
        <v>23</v>
      </c>
      <c r="T6">
        <f t="shared" si="0"/>
        <v>8.1159999999999997</v>
      </c>
    </row>
    <row r="7" spans="1:24" x14ac:dyDescent="0.3">
      <c r="A7">
        <v>6</v>
      </c>
      <c r="B7">
        <v>4</v>
      </c>
      <c r="C7">
        <v>1769509055.2249999</v>
      </c>
      <c r="D7">
        <v>1769509075.44999</v>
      </c>
      <c r="E7">
        <v>20.225000000000001</v>
      </c>
      <c r="F7">
        <v>1769509049</v>
      </c>
      <c r="G7">
        <v>1769509070</v>
      </c>
      <c r="H7">
        <v>21.108000000000001</v>
      </c>
      <c r="I7">
        <v>-0.88299999999999901</v>
      </c>
      <c r="J7">
        <v>0.88299999999999901</v>
      </c>
      <c r="K7">
        <v>4.2726151017346803</v>
      </c>
      <c r="L7">
        <v>5.4499998092651296</v>
      </c>
      <c r="M7">
        <v>5.4499998092651296</v>
      </c>
      <c r="N7" s="2">
        <v>3.0799501925538402E-7</v>
      </c>
      <c r="O7" s="3">
        <v>46049.428879918982</v>
      </c>
      <c r="P7" s="3">
        <v>46049.429114004626</v>
      </c>
      <c r="Q7" s="1" t="s">
        <v>24</v>
      </c>
      <c r="R7" s="1" t="s">
        <v>25</v>
      </c>
      <c r="T7">
        <f t="shared" si="0"/>
        <v>0.88299999999999912</v>
      </c>
    </row>
    <row r="8" spans="1:24" x14ac:dyDescent="0.3">
      <c r="A8">
        <v>7</v>
      </c>
      <c r="B8">
        <v>5</v>
      </c>
      <c r="C8">
        <v>1769509055.2249999</v>
      </c>
      <c r="D8">
        <v>1769509075.44999</v>
      </c>
      <c r="E8">
        <v>20.225000000000001</v>
      </c>
      <c r="F8">
        <v>1769509057</v>
      </c>
      <c r="G8">
        <v>1769509168</v>
      </c>
      <c r="H8">
        <v>110.786</v>
      </c>
      <c r="I8">
        <v>-90.561000000000007</v>
      </c>
      <c r="J8">
        <v>90.561000000000007</v>
      </c>
      <c r="K8">
        <v>138.24945996900999</v>
      </c>
      <c r="L8">
        <v>-92.550000190734806</v>
      </c>
      <c r="M8">
        <v>92.550000190734806</v>
      </c>
      <c r="N8" s="2">
        <v>5.2302640915754496E-6</v>
      </c>
      <c r="O8" s="3">
        <v>46049.428879918982</v>
      </c>
      <c r="P8" s="3">
        <v>46049.429114004626</v>
      </c>
      <c r="Q8" s="1" t="s">
        <v>19</v>
      </c>
      <c r="R8" s="1" t="s">
        <v>26</v>
      </c>
      <c r="T8">
        <f t="shared" si="0"/>
        <v>90.561000000000007</v>
      </c>
    </row>
    <row r="9" spans="1:24" x14ac:dyDescent="0.3">
      <c r="A9">
        <v>8</v>
      </c>
      <c r="B9">
        <v>4</v>
      </c>
      <c r="C9">
        <v>1769509075.44999</v>
      </c>
      <c r="D9">
        <v>1769509095.6749899</v>
      </c>
      <c r="E9">
        <v>20.225000000000001</v>
      </c>
      <c r="F9">
        <v>1769509057</v>
      </c>
      <c r="G9">
        <v>1769509087</v>
      </c>
      <c r="H9">
        <v>29.294</v>
      </c>
      <c r="I9">
        <v>-9.0689999999999902</v>
      </c>
      <c r="J9">
        <v>9.0689999999999902</v>
      </c>
      <c r="K9">
        <v>36.628364870049801</v>
      </c>
      <c r="L9">
        <v>8.6749997138976997</v>
      </c>
      <c r="M9">
        <v>8.6749997138976997</v>
      </c>
      <c r="N9" s="2">
        <v>4.9024894850020904E-7</v>
      </c>
      <c r="O9" s="3">
        <v>46049.429114004626</v>
      </c>
      <c r="P9" s="3">
        <v>46049.429348090278</v>
      </c>
      <c r="Q9" s="1" t="s">
        <v>19</v>
      </c>
      <c r="R9" s="1" t="s">
        <v>27</v>
      </c>
      <c r="T9">
        <f t="shared" si="0"/>
        <v>9.0689999999999991</v>
      </c>
    </row>
    <row r="10" spans="1:24" x14ac:dyDescent="0.3">
      <c r="A10">
        <v>9</v>
      </c>
      <c r="B10">
        <v>5</v>
      </c>
      <c r="C10">
        <v>1769509075.44999</v>
      </c>
      <c r="D10">
        <v>1769509095.6749899</v>
      </c>
      <c r="E10">
        <v>20.225000000000001</v>
      </c>
      <c r="F10">
        <v>1769509057</v>
      </c>
      <c r="G10">
        <v>1769509082</v>
      </c>
      <c r="H10">
        <v>25.224</v>
      </c>
      <c r="I10">
        <v>-4.9989999999999899</v>
      </c>
      <c r="J10">
        <v>4.9989999999999899</v>
      </c>
      <c r="K10">
        <v>21.998283790622398</v>
      </c>
      <c r="L10">
        <v>13.6749997138977</v>
      </c>
      <c r="M10">
        <v>13.6749997138977</v>
      </c>
      <c r="N10" s="2">
        <v>7.7281319435785696E-7</v>
      </c>
      <c r="O10" s="3">
        <v>46049.429114004626</v>
      </c>
      <c r="P10" s="3">
        <v>46049.429348090278</v>
      </c>
      <c r="Q10" s="1" t="s">
        <v>19</v>
      </c>
      <c r="R10" s="1" t="s">
        <v>28</v>
      </c>
      <c r="T10">
        <f t="shared" si="0"/>
        <v>4.9989999999999988</v>
      </c>
    </row>
    <row r="11" spans="1:24" x14ac:dyDescent="0.3">
      <c r="A11">
        <v>10</v>
      </c>
      <c r="B11">
        <v>4</v>
      </c>
      <c r="C11">
        <v>1769509095.6749899</v>
      </c>
      <c r="D11">
        <v>1769509115.8999901</v>
      </c>
      <c r="E11">
        <v>20.225000000000001</v>
      </c>
      <c r="F11">
        <v>1769509066</v>
      </c>
      <c r="G11">
        <v>1769509091</v>
      </c>
      <c r="H11">
        <v>24.843</v>
      </c>
      <c r="I11">
        <v>-4.6179999999999897</v>
      </c>
      <c r="J11">
        <v>4.6179999999999897</v>
      </c>
      <c r="K11">
        <v>20.4934765243631</v>
      </c>
      <c r="L11">
        <v>24.899999618530199</v>
      </c>
      <c r="M11">
        <v>24.899999618530199</v>
      </c>
      <c r="N11" s="2">
        <v>1.4071699077435E-6</v>
      </c>
      <c r="O11" s="3">
        <v>46049.429348090278</v>
      </c>
      <c r="P11" s="3">
        <v>46049.429582175922</v>
      </c>
      <c r="Q11" s="1" t="s">
        <v>23</v>
      </c>
      <c r="R11" s="1" t="s">
        <v>29</v>
      </c>
      <c r="T11">
        <f t="shared" si="0"/>
        <v>4.6179999999999986</v>
      </c>
    </row>
    <row r="12" spans="1:24" x14ac:dyDescent="0.3">
      <c r="A12">
        <v>11</v>
      </c>
      <c r="B12">
        <v>5</v>
      </c>
      <c r="C12">
        <v>1769509095.6749899</v>
      </c>
      <c r="D12">
        <v>1769509115.8999901</v>
      </c>
      <c r="E12">
        <v>20.225000000000001</v>
      </c>
      <c r="F12">
        <v>1769509268</v>
      </c>
      <c r="G12">
        <v>1769509290</v>
      </c>
      <c r="H12">
        <v>22.498000000000001</v>
      </c>
      <c r="I12">
        <v>-2.2729999999999899</v>
      </c>
      <c r="J12">
        <v>2.2729999999999899</v>
      </c>
      <c r="K12">
        <v>10.640638531938199</v>
      </c>
      <c r="L12">
        <v>-174.10000038146899</v>
      </c>
      <c r="M12">
        <v>174.10000038146899</v>
      </c>
      <c r="N12" s="2">
        <v>9.8388864037114101E-6</v>
      </c>
      <c r="O12" s="3">
        <v>46049.429348090278</v>
      </c>
      <c r="P12" s="3">
        <v>46049.429582175922</v>
      </c>
      <c r="Q12" s="1" t="s">
        <v>30</v>
      </c>
      <c r="R12" s="1" t="s">
        <v>31</v>
      </c>
      <c r="T12">
        <f t="shared" si="0"/>
        <v>2.2729999999999997</v>
      </c>
    </row>
    <row r="13" spans="1:24" x14ac:dyDescent="0.3">
      <c r="A13">
        <v>12</v>
      </c>
      <c r="B13">
        <v>4</v>
      </c>
      <c r="C13">
        <v>1769509115.8999901</v>
      </c>
      <c r="D13">
        <v>1769509136.12499</v>
      </c>
      <c r="E13">
        <v>20.225000000000001</v>
      </c>
      <c r="F13">
        <v>1769509268</v>
      </c>
      <c r="G13">
        <v>1769509403</v>
      </c>
      <c r="H13">
        <v>135.38999999999999</v>
      </c>
      <c r="I13">
        <v>-115.164999999999</v>
      </c>
      <c r="J13">
        <v>115.164999999999</v>
      </c>
      <c r="K13">
        <v>148.01272370915399</v>
      </c>
      <c r="L13">
        <v>-266.87500047683699</v>
      </c>
      <c r="M13">
        <v>266.87500047683699</v>
      </c>
      <c r="N13" s="2">
        <v>1.50818650722762E-5</v>
      </c>
      <c r="O13" s="3">
        <v>46049.429582175922</v>
      </c>
      <c r="P13" s="3">
        <v>46049.429816261574</v>
      </c>
      <c r="Q13" s="1" t="s">
        <v>30</v>
      </c>
      <c r="R13" s="1" t="s">
        <v>32</v>
      </c>
      <c r="T13">
        <f t="shared" si="0"/>
        <v>115.16499999999999</v>
      </c>
    </row>
    <row r="14" spans="1:24" x14ac:dyDescent="0.3">
      <c r="A14">
        <v>13</v>
      </c>
      <c r="B14">
        <v>5</v>
      </c>
      <c r="C14">
        <v>1769509115.8999901</v>
      </c>
      <c r="D14">
        <v>1769509136.12499</v>
      </c>
      <c r="E14">
        <v>20.225000000000001</v>
      </c>
      <c r="F14">
        <v>1769509268</v>
      </c>
      <c r="G14">
        <v>1769509285</v>
      </c>
      <c r="H14">
        <v>16.712</v>
      </c>
      <c r="I14">
        <v>3.5129999999999999</v>
      </c>
      <c r="J14">
        <v>3.5129999999999999</v>
      </c>
      <c r="K14">
        <v>19.021577280233899</v>
      </c>
      <c r="L14">
        <v>-148.87500047683699</v>
      </c>
      <c r="M14">
        <v>148.87500047683699</v>
      </c>
      <c r="N14" s="2">
        <v>8.4133498479791494E-6</v>
      </c>
      <c r="O14" s="3">
        <v>46049.429582175922</v>
      </c>
      <c r="P14" s="3">
        <v>46049.429816261574</v>
      </c>
      <c r="Q14" s="1" t="s">
        <v>30</v>
      </c>
      <c r="R14" s="1" t="s">
        <v>33</v>
      </c>
      <c r="T14">
        <f t="shared" si="0"/>
        <v>-3.5130000000000017</v>
      </c>
    </row>
    <row r="15" spans="1:24" x14ac:dyDescent="0.3">
      <c r="A15">
        <v>14</v>
      </c>
      <c r="B15">
        <v>4</v>
      </c>
      <c r="C15">
        <v>1769509136.12499</v>
      </c>
      <c r="D15">
        <v>1769509156.3499899</v>
      </c>
      <c r="E15">
        <v>20.225000000000001</v>
      </c>
      <c r="F15">
        <v>1769509269</v>
      </c>
      <c r="G15">
        <v>1769509299</v>
      </c>
      <c r="H15">
        <v>29.536999999999999</v>
      </c>
      <c r="I15">
        <v>-9.3119999999999905</v>
      </c>
      <c r="J15">
        <v>9.3119999999999905</v>
      </c>
      <c r="K15">
        <v>37.426148466701399</v>
      </c>
      <c r="L15">
        <v>-142.65000057220399</v>
      </c>
      <c r="M15">
        <v>142.65000057220399</v>
      </c>
      <c r="N15" s="2">
        <v>8.0615573143767001E-6</v>
      </c>
      <c r="O15" s="3">
        <v>46049.429816261574</v>
      </c>
      <c r="P15" s="3">
        <v>46049.430050347219</v>
      </c>
      <c r="Q15" s="1" t="s">
        <v>34</v>
      </c>
      <c r="R15" s="1" t="s">
        <v>35</v>
      </c>
      <c r="T15">
        <f t="shared" si="0"/>
        <v>9.3119999999999976</v>
      </c>
    </row>
    <row r="16" spans="1:24" x14ac:dyDescent="0.3">
      <c r="A16">
        <v>15</v>
      </c>
      <c r="B16">
        <v>5</v>
      </c>
      <c r="C16">
        <v>1769509136.12499</v>
      </c>
      <c r="D16">
        <v>1769509156.3499899</v>
      </c>
      <c r="E16">
        <v>20.225000000000001</v>
      </c>
      <c r="F16">
        <v>1769509269</v>
      </c>
      <c r="G16">
        <v>1769509294</v>
      </c>
      <c r="H16">
        <v>24.538</v>
      </c>
      <c r="I16">
        <v>-4.31299999999999</v>
      </c>
      <c r="J16">
        <v>4.31299999999999</v>
      </c>
      <c r="K16">
        <v>19.270379554542799</v>
      </c>
      <c r="L16">
        <v>-137.65000057220399</v>
      </c>
      <c r="M16">
        <v>137.65000057220399</v>
      </c>
      <c r="N16" s="2">
        <v>7.7789931023722906E-6</v>
      </c>
      <c r="O16" s="3">
        <v>46049.429816261574</v>
      </c>
      <c r="P16" s="3">
        <v>46049.430050347219</v>
      </c>
      <c r="Q16" s="1" t="s">
        <v>34</v>
      </c>
      <c r="R16" s="1" t="s">
        <v>36</v>
      </c>
      <c r="T16">
        <f t="shared" si="0"/>
        <v>4.3129999999999988</v>
      </c>
    </row>
    <row r="17" spans="1:20" x14ac:dyDescent="0.3">
      <c r="A17">
        <v>16</v>
      </c>
      <c r="B17">
        <v>3</v>
      </c>
      <c r="C17">
        <v>1769509144.87466</v>
      </c>
      <c r="D17">
        <v>1769509165.0996599</v>
      </c>
      <c r="E17">
        <v>20.225000000000001</v>
      </c>
      <c r="F17">
        <v>1769509284</v>
      </c>
      <c r="G17">
        <v>1769509308</v>
      </c>
      <c r="H17">
        <v>24.097999999999999</v>
      </c>
      <c r="I17">
        <v>-3.87299999999999</v>
      </c>
      <c r="J17">
        <v>3.87299999999999</v>
      </c>
      <c r="K17">
        <v>17.476253863682501</v>
      </c>
      <c r="L17">
        <v>-142.90033340454099</v>
      </c>
      <c r="M17">
        <v>142.90033340454099</v>
      </c>
      <c r="N17" s="2">
        <v>8.0757042943254793E-6</v>
      </c>
      <c r="O17" s="3">
        <v>46049.429917534719</v>
      </c>
      <c r="P17" s="3">
        <v>46049.43015162037</v>
      </c>
      <c r="Q17" s="1" t="s">
        <v>37</v>
      </c>
      <c r="R17" s="1" t="s">
        <v>38</v>
      </c>
      <c r="T17">
        <f t="shared" si="0"/>
        <v>3.8729999999999976</v>
      </c>
    </row>
    <row r="18" spans="1:20" x14ac:dyDescent="0.3">
      <c r="A18">
        <v>17</v>
      </c>
      <c r="B18">
        <v>1</v>
      </c>
      <c r="C18">
        <v>1769509146.872</v>
      </c>
      <c r="D18">
        <v>1769509167.0969999</v>
      </c>
      <c r="E18">
        <v>20.225000000000001</v>
      </c>
      <c r="F18">
        <v>1769509290</v>
      </c>
      <c r="G18">
        <v>1769509312</v>
      </c>
      <c r="H18">
        <v>22.446000000000002</v>
      </c>
      <c r="I18">
        <v>-2.2210000000000001</v>
      </c>
      <c r="J18">
        <v>2.2210000000000001</v>
      </c>
      <c r="K18">
        <v>10.4098802465374</v>
      </c>
      <c r="L18">
        <v>-144.90300011634801</v>
      </c>
      <c r="M18">
        <v>144.90300011634801</v>
      </c>
      <c r="N18" s="2">
        <v>8.1888806725485604E-6</v>
      </c>
      <c r="O18" s="3">
        <v>46049.429940648151</v>
      </c>
      <c r="P18" s="3">
        <v>46049.430174733796</v>
      </c>
      <c r="Q18" s="1" t="s">
        <v>31</v>
      </c>
      <c r="R18" s="1" t="s">
        <v>39</v>
      </c>
      <c r="T18">
        <f t="shared" si="0"/>
        <v>2.2210000000000001</v>
      </c>
    </row>
    <row r="19" spans="1:20" x14ac:dyDescent="0.3">
      <c r="A19">
        <v>18</v>
      </c>
      <c r="B19">
        <v>2</v>
      </c>
      <c r="C19">
        <v>1769509146.89466</v>
      </c>
      <c r="D19">
        <v>1769509167.1196599</v>
      </c>
      <c r="E19">
        <v>20.225000000000001</v>
      </c>
      <c r="F19">
        <v>1769509294</v>
      </c>
      <c r="G19">
        <v>1769509315</v>
      </c>
      <c r="H19">
        <v>21.004000000000001</v>
      </c>
      <c r="I19">
        <v>-0.77899999999999903</v>
      </c>
      <c r="J19">
        <v>0.77899999999999903</v>
      </c>
      <c r="K19">
        <v>3.7788934972955901</v>
      </c>
      <c r="L19">
        <v>-147.88033342361399</v>
      </c>
      <c r="M19">
        <v>147.88033342361399</v>
      </c>
      <c r="N19" s="2">
        <v>8.3571382387945398E-6</v>
      </c>
      <c r="O19" s="3">
        <v>46049.42994091435</v>
      </c>
      <c r="P19" s="3">
        <v>46049.430175000001</v>
      </c>
      <c r="Q19" s="1" t="s">
        <v>36</v>
      </c>
      <c r="R19" s="1" t="s">
        <v>40</v>
      </c>
      <c r="T19">
        <f t="shared" si="0"/>
        <v>0.77899999999999991</v>
      </c>
    </row>
    <row r="20" spans="1:20" x14ac:dyDescent="0.3">
      <c r="A20">
        <v>19</v>
      </c>
      <c r="B20">
        <v>4</v>
      </c>
      <c r="C20">
        <v>1769509156.3499899</v>
      </c>
      <c r="D20">
        <v>1769509176.57499</v>
      </c>
      <c r="E20">
        <v>20.225000000000001</v>
      </c>
      <c r="F20">
        <v>1769509299</v>
      </c>
      <c r="G20">
        <v>1769509329</v>
      </c>
      <c r="H20">
        <v>30.536999999999999</v>
      </c>
      <c r="I20">
        <v>-10.3119999999999</v>
      </c>
      <c r="J20">
        <v>10.3119999999999</v>
      </c>
      <c r="K20">
        <v>40.628816831488102</v>
      </c>
      <c r="L20">
        <v>-152.42500066757199</v>
      </c>
      <c r="M20">
        <v>152.42500066757199</v>
      </c>
      <c r="N20" s="2">
        <v>8.6139702534732496E-6</v>
      </c>
      <c r="O20" s="3">
        <v>46049.430050347219</v>
      </c>
      <c r="P20" s="3">
        <v>46049.43028443287</v>
      </c>
      <c r="Q20" s="1" t="s">
        <v>35</v>
      </c>
      <c r="R20" s="1" t="s">
        <v>41</v>
      </c>
      <c r="T20">
        <f t="shared" si="0"/>
        <v>10.311999999999998</v>
      </c>
    </row>
    <row r="21" spans="1:20" x14ac:dyDescent="0.3">
      <c r="A21">
        <v>20</v>
      </c>
      <c r="B21">
        <v>5</v>
      </c>
      <c r="C21">
        <v>1769509156.3499899</v>
      </c>
      <c r="D21">
        <v>1769509176.57499</v>
      </c>
      <c r="E21">
        <v>20.225000000000001</v>
      </c>
      <c r="F21">
        <v>1769509308</v>
      </c>
      <c r="G21">
        <v>1769509335</v>
      </c>
      <c r="H21">
        <v>27.657</v>
      </c>
      <c r="I21">
        <v>-7.4319999999999897</v>
      </c>
      <c r="J21">
        <v>7.4319999999999897</v>
      </c>
      <c r="K21">
        <v>31.042980660791098</v>
      </c>
      <c r="L21">
        <v>-158.42500066757199</v>
      </c>
      <c r="M21">
        <v>158.42500066757199</v>
      </c>
      <c r="N21" s="2">
        <v>8.9530473010759492E-6</v>
      </c>
      <c r="O21" s="3">
        <v>46049.430050347219</v>
      </c>
      <c r="P21" s="3">
        <v>46049.43028443287</v>
      </c>
      <c r="Q21" s="1" t="s">
        <v>38</v>
      </c>
      <c r="R21" s="1" t="s">
        <v>42</v>
      </c>
      <c r="T21">
        <f t="shared" si="0"/>
        <v>7.4319999999999986</v>
      </c>
    </row>
    <row r="22" spans="1:20" x14ac:dyDescent="0.3">
      <c r="A22">
        <v>21</v>
      </c>
      <c r="B22">
        <v>3</v>
      </c>
      <c r="C22">
        <v>1769509165.0996599</v>
      </c>
      <c r="D22">
        <v>1769509226.95433</v>
      </c>
      <c r="E22">
        <v>61.854666666666603</v>
      </c>
      <c r="F22">
        <v>1769509495</v>
      </c>
      <c r="G22">
        <v>1769509558</v>
      </c>
      <c r="H22">
        <v>63.561</v>
      </c>
      <c r="I22">
        <v>-1.7063333333333299</v>
      </c>
      <c r="J22">
        <v>1.7063333333333299</v>
      </c>
      <c r="K22">
        <v>2.72108481928095</v>
      </c>
      <c r="L22">
        <v>-331.045666694641</v>
      </c>
      <c r="M22">
        <v>331.045666694641</v>
      </c>
      <c r="N22" s="2">
        <v>1.870833057468E-5</v>
      </c>
      <c r="O22" s="3">
        <v>46049.43015162037</v>
      </c>
      <c r="P22" s="3">
        <v>46049.430867523151</v>
      </c>
      <c r="Q22" s="1" t="s">
        <v>43</v>
      </c>
      <c r="R22" s="1" t="s">
        <v>44</v>
      </c>
      <c r="T22">
        <f t="shared" si="0"/>
        <v>1.7063333333333972</v>
      </c>
    </row>
    <row r="23" spans="1:20" x14ac:dyDescent="0.3">
      <c r="A23">
        <v>22</v>
      </c>
      <c r="B23">
        <v>1</v>
      </c>
      <c r="C23">
        <v>1769509167.0969999</v>
      </c>
      <c r="D23">
        <v>1769509227.9029901</v>
      </c>
      <c r="E23">
        <v>60.805999999999997</v>
      </c>
      <c r="F23">
        <v>1769509495</v>
      </c>
      <c r="G23">
        <v>1769509563</v>
      </c>
      <c r="H23">
        <v>67.817999999999998</v>
      </c>
      <c r="I23">
        <v>-7.0119999999999898</v>
      </c>
      <c r="J23">
        <v>7.0119999999999898</v>
      </c>
      <c r="K23">
        <v>10.903097400174101</v>
      </c>
      <c r="L23">
        <v>-335.09700012207003</v>
      </c>
      <c r="M23">
        <v>335.09700012207003</v>
      </c>
      <c r="N23" s="2">
        <v>1.8937282897928199E-5</v>
      </c>
      <c r="O23" s="3">
        <v>46049.430174733796</v>
      </c>
      <c r="P23" s="3">
        <v>46049.430878506944</v>
      </c>
      <c r="Q23" s="1" t="s">
        <v>43</v>
      </c>
      <c r="R23" s="1" t="s">
        <v>45</v>
      </c>
      <c r="T23">
        <f t="shared" si="0"/>
        <v>7.0120000000000005</v>
      </c>
    </row>
    <row r="24" spans="1:20" x14ac:dyDescent="0.3">
      <c r="A24">
        <v>23</v>
      </c>
      <c r="B24">
        <v>2</v>
      </c>
      <c r="C24">
        <v>1769509167.1196599</v>
      </c>
      <c r="D24">
        <v>1769509226.8066599</v>
      </c>
      <c r="E24">
        <v>59.686999999999998</v>
      </c>
      <c r="F24">
        <v>1769509495</v>
      </c>
      <c r="G24">
        <v>1769509566</v>
      </c>
      <c r="H24">
        <v>70.855999999999995</v>
      </c>
      <c r="I24">
        <v>-11.168999999999899</v>
      </c>
      <c r="J24">
        <v>11.168999999999899</v>
      </c>
      <c r="K24">
        <v>17.1116030733168</v>
      </c>
      <c r="L24">
        <v>-339.19333338737403</v>
      </c>
      <c r="M24">
        <v>339.19333338737403</v>
      </c>
      <c r="N24" s="2">
        <v>1.91687783109155E-5</v>
      </c>
      <c r="O24" s="3">
        <v>46049.430175000001</v>
      </c>
      <c r="P24" s="3">
        <v>46049.430865821756</v>
      </c>
      <c r="Q24" s="1" t="s">
        <v>43</v>
      </c>
      <c r="R24" s="1" t="s">
        <v>46</v>
      </c>
      <c r="T24">
        <f t="shared" si="0"/>
        <v>11.168999999999997</v>
      </c>
    </row>
    <row r="25" spans="1:20" x14ac:dyDescent="0.3">
      <c r="A25">
        <v>24</v>
      </c>
      <c r="B25">
        <v>4</v>
      </c>
      <c r="C25">
        <v>1769509176.57499</v>
      </c>
      <c r="D25">
        <v>1769509233.4366601</v>
      </c>
      <c r="E25">
        <v>56.861666666666601</v>
      </c>
      <c r="F25">
        <v>1769509496</v>
      </c>
      <c r="G25">
        <v>1769509554</v>
      </c>
      <c r="H25">
        <v>57.874000000000002</v>
      </c>
      <c r="I25">
        <v>-1.01233333333334</v>
      </c>
      <c r="J25">
        <v>1.01233333333334</v>
      </c>
      <c r="K25">
        <v>1.7646358150764101</v>
      </c>
      <c r="L25">
        <v>-320.56333398818902</v>
      </c>
      <c r="M25">
        <v>320.56333398818902</v>
      </c>
      <c r="N25" s="2">
        <v>1.8115944177870601E-5</v>
      </c>
      <c r="O25" s="3">
        <v>46049.43028443287</v>
      </c>
      <c r="P25" s="3">
        <v>46049.430942557869</v>
      </c>
      <c r="Q25" s="1" t="s">
        <v>47</v>
      </c>
      <c r="R25" s="1" t="s">
        <v>48</v>
      </c>
      <c r="T25">
        <f t="shared" si="0"/>
        <v>1.0123333333334017</v>
      </c>
    </row>
    <row r="26" spans="1:20" x14ac:dyDescent="0.3">
      <c r="A26">
        <v>25</v>
      </c>
      <c r="B26">
        <v>5</v>
      </c>
      <c r="C26">
        <v>1769509176.57499</v>
      </c>
      <c r="D26">
        <v>1769509242.2746601</v>
      </c>
      <c r="E26">
        <v>65.699666666666602</v>
      </c>
      <c r="F26">
        <v>1769509497</v>
      </c>
      <c r="G26">
        <v>1769509558</v>
      </c>
      <c r="H26">
        <v>61.195</v>
      </c>
      <c r="I26">
        <v>4.5046666666666502</v>
      </c>
      <c r="J26">
        <v>4.5046666666666502</v>
      </c>
      <c r="K26">
        <v>7.0998518456252198</v>
      </c>
      <c r="L26">
        <v>-315.72533392906098</v>
      </c>
      <c r="M26">
        <v>315.72533392906098</v>
      </c>
      <c r="N26" s="2">
        <v>1.78425349932901E-5</v>
      </c>
      <c r="O26" s="3">
        <v>46049.43028443287</v>
      </c>
      <c r="P26" s="3">
        <v>46049.431044849538</v>
      </c>
      <c r="Q26" s="1" t="s">
        <v>49</v>
      </c>
      <c r="R26" s="1" t="s">
        <v>44</v>
      </c>
      <c r="T26">
        <f t="shared" si="0"/>
        <v>-4.5046666666666013</v>
      </c>
    </row>
    <row r="27" spans="1:20" x14ac:dyDescent="0.3">
      <c r="A27">
        <v>26</v>
      </c>
      <c r="B27">
        <v>2</v>
      </c>
      <c r="C27">
        <v>1769509226.8066599</v>
      </c>
      <c r="D27">
        <v>1769509288.43433</v>
      </c>
      <c r="E27">
        <v>61.627666666666599</v>
      </c>
      <c r="F27">
        <v>1769509554</v>
      </c>
      <c r="G27">
        <v>1769509610</v>
      </c>
      <c r="H27">
        <v>56.151000000000003</v>
      </c>
      <c r="I27">
        <v>5.4766666666666497</v>
      </c>
      <c r="J27">
        <v>5.4766666666666497</v>
      </c>
      <c r="K27">
        <v>9.2999298118504594</v>
      </c>
      <c r="L27">
        <v>-321.565666675567</v>
      </c>
      <c r="M27">
        <v>321.565666675567</v>
      </c>
      <c r="N27" s="2">
        <v>1.8172588273988999E-5</v>
      </c>
      <c r="O27" s="3">
        <v>46049.430865821756</v>
      </c>
      <c r="P27" s="3">
        <v>46049.431579097225</v>
      </c>
      <c r="Q27" s="1" t="s">
        <v>48</v>
      </c>
      <c r="R27" s="1" t="s">
        <v>50</v>
      </c>
      <c r="T27">
        <f t="shared" si="0"/>
        <v>-5.4766666666665955</v>
      </c>
    </row>
    <row r="28" spans="1:20" x14ac:dyDescent="0.3">
      <c r="A28">
        <v>27</v>
      </c>
      <c r="B28">
        <v>3</v>
      </c>
      <c r="C28">
        <v>1769509226.95433</v>
      </c>
      <c r="D28">
        <v>1769509287.4783299</v>
      </c>
      <c r="E28">
        <v>60.524000000000001</v>
      </c>
      <c r="F28">
        <v>1769509558</v>
      </c>
      <c r="G28">
        <v>1769509616</v>
      </c>
      <c r="H28">
        <v>57.597000000000001</v>
      </c>
      <c r="I28">
        <v>2.9269999999999898</v>
      </c>
      <c r="J28">
        <v>2.9269999999999898</v>
      </c>
      <c r="K28">
        <v>4.9559350157888904</v>
      </c>
      <c r="L28">
        <v>-328.52166676521301</v>
      </c>
      <c r="M28">
        <v>328.52166676521301</v>
      </c>
      <c r="N28" s="2">
        <v>1.8565691550408199E-5</v>
      </c>
      <c r="O28" s="3">
        <v>46049.430867523151</v>
      </c>
      <c r="P28" s="3">
        <v>46049.431568032407</v>
      </c>
      <c r="Q28" s="1" t="s">
        <v>44</v>
      </c>
      <c r="R28" s="1" t="s">
        <v>51</v>
      </c>
      <c r="T28">
        <f t="shared" si="0"/>
        <v>-2.9269999999999996</v>
      </c>
    </row>
    <row r="29" spans="1:20" x14ac:dyDescent="0.3">
      <c r="A29">
        <v>28</v>
      </c>
      <c r="B29">
        <v>1</v>
      </c>
      <c r="C29">
        <v>1769509227.9029901</v>
      </c>
      <c r="D29">
        <v>1769509289.52333</v>
      </c>
      <c r="E29">
        <v>61.620333333333299</v>
      </c>
      <c r="F29">
        <v>1769509558</v>
      </c>
      <c r="G29">
        <v>1769509619</v>
      </c>
      <c r="H29">
        <v>61.561</v>
      </c>
      <c r="I29">
        <v>5.9333333333327597E-2</v>
      </c>
      <c r="J29">
        <v>5.9333333333327597E-2</v>
      </c>
      <c r="K29">
        <v>9.63349425237498E-2</v>
      </c>
      <c r="L29">
        <v>-329.47666668891901</v>
      </c>
      <c r="M29">
        <v>329.47666668891901</v>
      </c>
      <c r="N29" s="2">
        <v>1.8619661279311598E-5</v>
      </c>
      <c r="O29" s="3">
        <v>46049.430878506944</v>
      </c>
      <c r="P29" s="3">
        <v>46049.431591701388</v>
      </c>
      <c r="Q29" s="1" t="s">
        <v>44</v>
      </c>
      <c r="R29" s="1" t="s">
        <v>52</v>
      </c>
      <c r="T29">
        <f t="shared" si="0"/>
        <v>-5.9333333333299265E-2</v>
      </c>
    </row>
    <row r="30" spans="1:20" x14ac:dyDescent="0.3">
      <c r="A30">
        <v>29</v>
      </c>
      <c r="B30">
        <v>4</v>
      </c>
      <c r="C30">
        <v>1769509233.4366601</v>
      </c>
      <c r="D30">
        <v>1769509289.25266</v>
      </c>
      <c r="E30">
        <v>55.815999999999903</v>
      </c>
      <c r="F30">
        <v>1769509563</v>
      </c>
      <c r="G30">
        <v>1769509623</v>
      </c>
      <c r="H30">
        <v>59.945</v>
      </c>
      <c r="I30">
        <v>-4.1289999999999996</v>
      </c>
      <c r="J30">
        <v>4.1289999999999996</v>
      </c>
      <c r="K30">
        <v>7.1336633235718496</v>
      </c>
      <c r="L30">
        <v>-333.74733400344797</v>
      </c>
      <c r="M30">
        <v>333.74733400344797</v>
      </c>
      <c r="N30" s="2">
        <v>1.88610087868115E-5</v>
      </c>
      <c r="O30" s="3">
        <v>46049.430942557869</v>
      </c>
      <c r="P30" s="3">
        <v>46049.431588576386</v>
      </c>
      <c r="Q30" s="1" t="s">
        <v>45</v>
      </c>
      <c r="R30" s="1" t="s">
        <v>53</v>
      </c>
      <c r="T30">
        <f t="shared" si="0"/>
        <v>4.1290000000000973</v>
      </c>
    </row>
    <row r="31" spans="1:20" x14ac:dyDescent="0.3">
      <c r="A31">
        <v>30</v>
      </c>
      <c r="B31">
        <v>5</v>
      </c>
      <c r="C31">
        <v>1769509242.2746601</v>
      </c>
      <c r="D31">
        <v>1769509306.20766</v>
      </c>
      <c r="E31">
        <v>63.9329999999999</v>
      </c>
      <c r="F31">
        <v>1769509566</v>
      </c>
      <c r="G31">
        <v>1769509623</v>
      </c>
      <c r="H31">
        <v>57.597000000000001</v>
      </c>
      <c r="I31">
        <v>6.3359999999999896</v>
      </c>
      <c r="J31">
        <v>6.3359999999999896</v>
      </c>
      <c r="K31">
        <v>10.4270550481362</v>
      </c>
      <c r="L31">
        <v>-316.792333841323</v>
      </c>
      <c r="M31">
        <v>316.792333841323</v>
      </c>
      <c r="N31" s="2">
        <v>1.79028335354085E-5</v>
      </c>
      <c r="O31" s="3">
        <v>46049.431044849538</v>
      </c>
      <c r="P31" s="3">
        <v>46049.431784814813</v>
      </c>
      <c r="Q31" s="1" t="s">
        <v>46</v>
      </c>
      <c r="R31" s="1" t="s">
        <v>53</v>
      </c>
      <c r="T31">
        <f t="shared" si="0"/>
        <v>-6.335999999999899</v>
      </c>
    </row>
    <row r="32" spans="1:20" x14ac:dyDescent="0.3">
      <c r="A32">
        <v>31</v>
      </c>
      <c r="B32">
        <v>3</v>
      </c>
      <c r="C32">
        <v>1769509287.4783299</v>
      </c>
      <c r="D32">
        <v>1769509345.3929999</v>
      </c>
      <c r="E32">
        <v>57.914666666666598</v>
      </c>
      <c r="F32">
        <v>1769509610</v>
      </c>
      <c r="G32">
        <v>1769509668</v>
      </c>
      <c r="H32">
        <v>57.92</v>
      </c>
      <c r="I32">
        <v>-5.3333333333327399E-3</v>
      </c>
      <c r="J32">
        <v>5.3333333333327399E-3</v>
      </c>
      <c r="K32">
        <v>9.20852709608996E-3</v>
      </c>
      <c r="L32">
        <v>-322.607000112533</v>
      </c>
      <c r="M32">
        <v>322.607000112533</v>
      </c>
      <c r="N32" s="2">
        <v>1.8231436389104701E-5</v>
      </c>
      <c r="O32" s="3">
        <v>46049.431568032407</v>
      </c>
      <c r="P32" s="3">
        <v>46049.432238344911</v>
      </c>
      <c r="Q32" s="1" t="s">
        <v>50</v>
      </c>
      <c r="R32" s="1" t="s">
        <v>54</v>
      </c>
      <c r="T32">
        <f t="shared" si="0"/>
        <v>5.3333333334038002E-3</v>
      </c>
    </row>
    <row r="33" spans="1:20" x14ac:dyDescent="0.3">
      <c r="A33">
        <v>32</v>
      </c>
      <c r="B33">
        <v>2</v>
      </c>
      <c r="C33">
        <v>1769509288.43433</v>
      </c>
      <c r="D33">
        <v>1769509347.9126599</v>
      </c>
      <c r="E33">
        <v>59.478333333333303</v>
      </c>
      <c r="F33">
        <v>1769509616</v>
      </c>
      <c r="G33">
        <v>1769509675</v>
      </c>
      <c r="H33">
        <v>59.2</v>
      </c>
      <c r="I33">
        <v>0.27833333333332799</v>
      </c>
      <c r="J33">
        <v>0.27833333333332799</v>
      </c>
      <c r="K33">
        <v>0.46905500863678301</v>
      </c>
      <c r="L33">
        <v>-327.08733344078001</v>
      </c>
      <c r="M33">
        <v>327.08733344078001</v>
      </c>
      <c r="N33" s="2">
        <v>1.84846326805885E-5</v>
      </c>
      <c r="O33" s="3">
        <v>46049.431579097225</v>
      </c>
      <c r="P33" s="3">
        <v>46049.432267511576</v>
      </c>
      <c r="Q33" s="1" t="s">
        <v>51</v>
      </c>
      <c r="R33" s="1" t="s">
        <v>55</v>
      </c>
      <c r="T33">
        <f t="shared" si="0"/>
        <v>-0.27833333333330046</v>
      </c>
    </row>
    <row r="34" spans="1:20" x14ac:dyDescent="0.3">
      <c r="A34">
        <v>33</v>
      </c>
      <c r="B34">
        <v>4</v>
      </c>
      <c r="C34">
        <v>1769509289.25266</v>
      </c>
      <c r="D34">
        <v>1769509349.9486599</v>
      </c>
      <c r="E34">
        <v>60.695999999999998</v>
      </c>
      <c r="F34">
        <v>1769509619</v>
      </c>
      <c r="G34">
        <v>1769509677</v>
      </c>
      <c r="H34">
        <v>58.26</v>
      </c>
      <c r="I34">
        <v>2.4359999999999999</v>
      </c>
      <c r="J34">
        <v>2.4359999999999999</v>
      </c>
      <c r="K34">
        <v>4.0956319983859499</v>
      </c>
      <c r="L34">
        <v>-327.05133390426602</v>
      </c>
      <c r="M34">
        <v>327.05133390426602</v>
      </c>
      <c r="N34" s="2">
        <v>1.8482598223623999E-5</v>
      </c>
      <c r="O34" s="3">
        <v>46049.431588576386</v>
      </c>
      <c r="P34" s="3">
        <v>46049.432291076388</v>
      </c>
      <c r="Q34" s="1" t="s">
        <v>52</v>
      </c>
      <c r="R34" s="1" t="s">
        <v>56</v>
      </c>
      <c r="T34">
        <f t="shared" si="0"/>
        <v>-2.4359999999999999</v>
      </c>
    </row>
    <row r="35" spans="1:20" x14ac:dyDescent="0.3">
      <c r="A35">
        <v>34</v>
      </c>
      <c r="B35">
        <v>1</v>
      </c>
      <c r="C35">
        <v>1769509289.52333</v>
      </c>
      <c r="D35">
        <v>1769509351.29866</v>
      </c>
      <c r="E35">
        <v>61.7753333333333</v>
      </c>
      <c r="F35">
        <v>1769509623</v>
      </c>
      <c r="G35">
        <v>1769509686</v>
      </c>
      <c r="H35">
        <v>62.625</v>
      </c>
      <c r="I35">
        <v>-0.84966666666667101</v>
      </c>
      <c r="J35">
        <v>0.84966666666667101</v>
      </c>
      <c r="K35">
        <v>1.3660199195607801</v>
      </c>
      <c r="L35">
        <v>-334.70133328437799</v>
      </c>
      <c r="M35">
        <v>334.70133328437799</v>
      </c>
      <c r="N35" s="2">
        <v>1.8914921324630901E-5</v>
      </c>
      <c r="O35" s="3">
        <v>46049.431591701388</v>
      </c>
      <c r="P35" s="3">
        <v>46049.43230670139</v>
      </c>
      <c r="Q35" s="1" t="s">
        <v>53</v>
      </c>
      <c r="R35" s="1" t="s">
        <v>57</v>
      </c>
      <c r="T35">
        <f t="shared" si="0"/>
        <v>0.84966666666669965</v>
      </c>
    </row>
    <row r="36" spans="1:20" x14ac:dyDescent="0.3">
      <c r="A36">
        <v>35</v>
      </c>
      <c r="B36">
        <v>5</v>
      </c>
      <c r="C36">
        <v>1769509306.20766</v>
      </c>
      <c r="D36">
        <v>1769509364.2453301</v>
      </c>
      <c r="E36">
        <v>58.037666666666603</v>
      </c>
      <c r="F36">
        <v>1769509623</v>
      </c>
      <c r="G36">
        <v>1769509678</v>
      </c>
      <c r="H36">
        <v>54.713999999999999</v>
      </c>
      <c r="I36">
        <v>3.3236666666666599</v>
      </c>
      <c r="J36">
        <v>3.3236666666666599</v>
      </c>
      <c r="K36">
        <v>5.8955521721777897</v>
      </c>
      <c r="L36">
        <v>-313.75466728210398</v>
      </c>
      <c r="M36">
        <v>313.75466728210398</v>
      </c>
      <c r="N36" s="2">
        <v>1.7731165813848902E-5</v>
      </c>
      <c r="O36" s="3">
        <v>46049.431784814813</v>
      </c>
      <c r="P36" s="3">
        <v>46049.432456539354</v>
      </c>
      <c r="Q36" s="1" t="s">
        <v>53</v>
      </c>
      <c r="R36" s="1" t="s">
        <v>58</v>
      </c>
      <c r="T36">
        <f t="shared" si="0"/>
        <v>-3.3236666666666039</v>
      </c>
    </row>
    <row r="37" spans="1:20" x14ac:dyDescent="0.3">
      <c r="A37">
        <v>36</v>
      </c>
      <c r="B37">
        <v>3</v>
      </c>
      <c r="C37">
        <v>1769509345.3929999</v>
      </c>
      <c r="D37">
        <v>1769509404.33866</v>
      </c>
      <c r="E37">
        <v>58.945666666666597</v>
      </c>
      <c r="F37">
        <v>1769509668</v>
      </c>
      <c r="G37">
        <v>1769509728</v>
      </c>
      <c r="H37">
        <v>60.274999999999999</v>
      </c>
      <c r="I37">
        <v>-1.3293333333333299</v>
      </c>
      <c r="J37">
        <v>1.3293333333333299</v>
      </c>
      <c r="K37">
        <v>2.2300384161582798</v>
      </c>
      <c r="L37">
        <v>-323.66133356094298</v>
      </c>
      <c r="M37">
        <v>323.66133356094298</v>
      </c>
      <c r="N37" s="2">
        <v>1.8291019147277701E-5</v>
      </c>
      <c r="O37" s="3">
        <v>46049.432238344911</v>
      </c>
      <c r="P37" s="3">
        <v>46049.432920590276</v>
      </c>
      <c r="Q37" s="1" t="s">
        <v>54</v>
      </c>
      <c r="R37" s="1" t="s">
        <v>59</v>
      </c>
      <c r="T37">
        <f t="shared" si="0"/>
        <v>1.3293333333334019</v>
      </c>
    </row>
    <row r="38" spans="1:20" x14ac:dyDescent="0.3">
      <c r="A38">
        <v>37</v>
      </c>
      <c r="B38">
        <v>2</v>
      </c>
      <c r="C38">
        <v>1769509347.9126599</v>
      </c>
      <c r="D38">
        <v>1769509405.6266601</v>
      </c>
      <c r="E38">
        <v>57.713999999999999</v>
      </c>
      <c r="F38">
        <v>1769509675</v>
      </c>
      <c r="G38">
        <v>1769509737</v>
      </c>
      <c r="H38">
        <v>61.646000000000001</v>
      </c>
      <c r="I38">
        <v>-3.9319999999999999</v>
      </c>
      <c r="J38">
        <v>3.9319999999999999</v>
      </c>
      <c r="K38">
        <v>6.5884718498659502</v>
      </c>
      <c r="L38">
        <v>-331.37333345413202</v>
      </c>
      <c r="M38">
        <v>331.37333345413202</v>
      </c>
      <c r="N38" s="2">
        <v>1.8726846060978699E-5</v>
      </c>
      <c r="O38" s="3">
        <v>46049.432267511576</v>
      </c>
      <c r="P38" s="3">
        <v>46049.432935497687</v>
      </c>
      <c r="Q38" s="1" t="s">
        <v>55</v>
      </c>
      <c r="R38" s="1" t="s">
        <v>60</v>
      </c>
      <c r="T38">
        <f t="shared" si="0"/>
        <v>3.9320000000000022</v>
      </c>
    </row>
    <row r="39" spans="1:20" x14ac:dyDescent="0.3">
      <c r="A39">
        <v>38</v>
      </c>
      <c r="B39">
        <v>4</v>
      </c>
      <c r="C39">
        <v>1769509349.9486599</v>
      </c>
      <c r="D39">
        <v>1769509412.7216599</v>
      </c>
      <c r="E39">
        <v>62.773000000000003</v>
      </c>
      <c r="F39">
        <v>1769509677</v>
      </c>
      <c r="G39">
        <v>1769509737</v>
      </c>
      <c r="H39">
        <v>59.323</v>
      </c>
      <c r="I39">
        <v>3.45</v>
      </c>
      <c r="J39">
        <v>3.45</v>
      </c>
      <c r="K39">
        <v>5.6512907875769898</v>
      </c>
      <c r="L39">
        <v>-324.27833390235901</v>
      </c>
      <c r="M39">
        <v>324.27833390235901</v>
      </c>
      <c r="N39" s="2">
        <v>1.8325887495006201E-5</v>
      </c>
      <c r="O39" s="3">
        <v>46049.432291076388</v>
      </c>
      <c r="P39" s="3">
        <v>46049.433017615738</v>
      </c>
      <c r="Q39" s="1" t="s">
        <v>56</v>
      </c>
      <c r="R39" s="1" t="s">
        <v>60</v>
      </c>
      <c r="T39">
        <f t="shared" si="0"/>
        <v>-3.4500000000000028</v>
      </c>
    </row>
    <row r="40" spans="1:20" x14ac:dyDescent="0.3">
      <c r="A40">
        <v>39</v>
      </c>
      <c r="B40">
        <v>1</v>
      </c>
      <c r="C40">
        <v>1769509351.29866</v>
      </c>
      <c r="D40">
        <v>1769509413.7839999</v>
      </c>
      <c r="E40">
        <v>62.485333333333301</v>
      </c>
      <c r="F40">
        <v>1769509678</v>
      </c>
      <c r="G40">
        <v>1769509733</v>
      </c>
      <c r="H40">
        <v>55.411999999999999</v>
      </c>
      <c r="I40">
        <v>7.0733333333333297</v>
      </c>
      <c r="J40">
        <v>7.0733333333333297</v>
      </c>
      <c r="K40">
        <v>11.999140495120001</v>
      </c>
      <c r="L40">
        <v>-319.21599984169001</v>
      </c>
      <c r="M40">
        <v>319.21599984169001</v>
      </c>
      <c r="N40" s="2">
        <v>1.8039800668033601E-5</v>
      </c>
      <c r="O40" s="3">
        <v>46049.43230670139</v>
      </c>
      <c r="P40" s="3">
        <v>46049.433029907406</v>
      </c>
      <c r="Q40" s="1" t="s">
        <v>58</v>
      </c>
      <c r="R40" s="1" t="s">
        <v>61</v>
      </c>
      <c r="T40">
        <f t="shared" si="0"/>
        <v>-7.0733333333333022</v>
      </c>
    </row>
    <row r="41" spans="1:20" x14ac:dyDescent="0.3">
      <c r="A41">
        <v>40</v>
      </c>
      <c r="B41">
        <v>5</v>
      </c>
      <c r="C41">
        <v>1769509364.2453301</v>
      </c>
      <c r="D41">
        <v>1769509424.3829899</v>
      </c>
      <c r="E41">
        <v>60.137666666666597</v>
      </c>
      <c r="F41">
        <v>1769509686</v>
      </c>
      <c r="G41">
        <v>1769509745</v>
      </c>
      <c r="H41">
        <v>59.893000000000001</v>
      </c>
      <c r="I41">
        <v>0.244666666666667</v>
      </c>
      <c r="J41">
        <v>0.244666666666667</v>
      </c>
      <c r="K41">
        <v>0.40767359452584401</v>
      </c>
      <c r="L41">
        <v>-320.61700057983398</v>
      </c>
      <c r="M41">
        <v>320.61700057983398</v>
      </c>
      <c r="N41" s="2">
        <v>1.8118975073860899E-5</v>
      </c>
      <c r="O41" s="3">
        <v>46049.432456539354</v>
      </c>
      <c r="P41" s="3">
        <v>46049.433152581019</v>
      </c>
      <c r="Q41" s="1" t="s">
        <v>57</v>
      </c>
      <c r="R41" s="1" t="s">
        <v>62</v>
      </c>
      <c r="T41">
        <f t="shared" si="0"/>
        <v>-0.2446666666665962</v>
      </c>
    </row>
    <row r="42" spans="1:20" x14ac:dyDescent="0.3">
      <c r="A42">
        <v>41</v>
      </c>
      <c r="B42">
        <v>3</v>
      </c>
      <c r="C42">
        <v>1769509404.33866</v>
      </c>
      <c r="D42">
        <v>1769509462.41366</v>
      </c>
      <c r="E42">
        <v>58.074999999999903</v>
      </c>
      <c r="F42">
        <v>1769509728</v>
      </c>
      <c r="G42">
        <v>1769509785</v>
      </c>
      <c r="H42">
        <v>56.9</v>
      </c>
      <c r="I42">
        <v>1.1749999999999901</v>
      </c>
      <c r="J42">
        <v>1.1749999999999901</v>
      </c>
      <c r="K42">
        <v>2.0439225918677901</v>
      </c>
      <c r="L42">
        <v>-322.58633351325898</v>
      </c>
      <c r="M42">
        <v>322.58633351325898</v>
      </c>
      <c r="N42" s="2">
        <v>1.8230267255483701E-5</v>
      </c>
      <c r="O42" s="3">
        <v>46049.432920590276</v>
      </c>
      <c r="P42" s="3">
        <v>46049.433592754627</v>
      </c>
      <c r="Q42" s="1" t="s">
        <v>59</v>
      </c>
      <c r="R42" s="1" t="s">
        <v>63</v>
      </c>
      <c r="T42">
        <f t="shared" si="0"/>
        <v>-1.1749999999999048</v>
      </c>
    </row>
    <row r="43" spans="1:20" x14ac:dyDescent="0.3">
      <c r="A43">
        <v>42</v>
      </c>
      <c r="B43">
        <v>2</v>
      </c>
      <c r="C43">
        <v>1769509405.6266601</v>
      </c>
      <c r="D43">
        <v>1769509473.2343299</v>
      </c>
      <c r="E43">
        <v>67.607666666666603</v>
      </c>
      <c r="F43">
        <v>1769509733</v>
      </c>
      <c r="G43">
        <v>1769509794</v>
      </c>
      <c r="H43">
        <v>60.628</v>
      </c>
      <c r="I43">
        <v>6.9796666666666596</v>
      </c>
      <c r="J43">
        <v>6.9796666666666596</v>
      </c>
      <c r="K43">
        <v>10.885687029349601</v>
      </c>
      <c r="L43">
        <v>-320.765666723251</v>
      </c>
      <c r="M43">
        <v>320.765666723251</v>
      </c>
      <c r="N43" s="2">
        <v>1.8127376117616999E-5</v>
      </c>
      <c r="O43" s="3">
        <v>46049.432935497687</v>
      </c>
      <c r="P43" s="3">
        <v>46049.43371798611</v>
      </c>
      <c r="Q43" s="1" t="s">
        <v>61</v>
      </c>
      <c r="R43" s="1" t="s">
        <v>64</v>
      </c>
      <c r="T43">
        <f t="shared" si="0"/>
        <v>-6.9796666666666027</v>
      </c>
    </row>
    <row r="44" spans="1:20" x14ac:dyDescent="0.3">
      <c r="A44">
        <v>43</v>
      </c>
      <c r="B44">
        <v>4</v>
      </c>
      <c r="C44">
        <v>1769509412.7216599</v>
      </c>
      <c r="D44">
        <v>1769509481.43066</v>
      </c>
      <c r="E44">
        <v>68.709000000000003</v>
      </c>
      <c r="F44">
        <v>1769509736</v>
      </c>
      <c r="G44">
        <v>1769509795</v>
      </c>
      <c r="H44">
        <v>58.323999999999998</v>
      </c>
      <c r="I44">
        <v>10.385</v>
      </c>
      <c r="J44">
        <v>10.385</v>
      </c>
      <c r="K44">
        <v>16.350082262089298</v>
      </c>
      <c r="L44">
        <v>-313.56933379173199</v>
      </c>
      <c r="M44">
        <v>313.56933379173199</v>
      </c>
      <c r="N44" s="2">
        <v>1.7720690920225099E-5</v>
      </c>
      <c r="O44" s="3">
        <v>46049.433017615738</v>
      </c>
      <c r="P44" s="3">
        <v>46049.433812858799</v>
      </c>
      <c r="Q44" s="1" t="s">
        <v>65</v>
      </c>
      <c r="R44" s="1" t="s">
        <v>66</v>
      </c>
      <c r="T44">
        <f t="shared" si="0"/>
        <v>-10.385000000000005</v>
      </c>
    </row>
    <row r="45" spans="1:20" x14ac:dyDescent="0.3">
      <c r="A45">
        <v>44</v>
      </c>
      <c r="B45">
        <v>1</v>
      </c>
      <c r="C45">
        <v>1769509413.7839999</v>
      </c>
      <c r="D45">
        <v>1769509473.53566</v>
      </c>
      <c r="E45">
        <v>59.751666666666601</v>
      </c>
      <c r="F45">
        <v>1769509737</v>
      </c>
      <c r="G45">
        <v>1769509793</v>
      </c>
      <c r="H45">
        <v>56.725999999999999</v>
      </c>
      <c r="I45">
        <v>3.0256666666666598</v>
      </c>
      <c r="J45">
        <v>3.0256666666666598</v>
      </c>
      <c r="K45">
        <v>5.1952734859043002</v>
      </c>
      <c r="L45">
        <v>-319.464333057403</v>
      </c>
      <c r="M45">
        <v>319.464333057403</v>
      </c>
      <c r="N45" s="2">
        <v>1.8053834070822999E-5</v>
      </c>
      <c r="O45" s="3">
        <v>46049.433029907406</v>
      </c>
      <c r="P45" s="3">
        <v>46049.43372148148</v>
      </c>
      <c r="Q45" s="1" t="s">
        <v>60</v>
      </c>
      <c r="R45" s="1" t="s">
        <v>67</v>
      </c>
      <c r="T45">
        <f t="shared" si="0"/>
        <v>-3.0256666666666021</v>
      </c>
    </row>
    <row r="46" spans="1:20" x14ac:dyDescent="0.3">
      <c r="A46">
        <v>45</v>
      </c>
      <c r="B46">
        <v>5</v>
      </c>
      <c r="C46">
        <v>1769509424.3829899</v>
      </c>
      <c r="D46">
        <v>1769509484.7419901</v>
      </c>
      <c r="E46">
        <v>60.359000000000002</v>
      </c>
      <c r="F46">
        <v>1769509745</v>
      </c>
      <c r="G46">
        <v>1769509803</v>
      </c>
      <c r="H46">
        <v>57.125999999999998</v>
      </c>
      <c r="I46">
        <v>3.2330000000000001</v>
      </c>
      <c r="J46">
        <v>3.2330000000000001</v>
      </c>
      <c r="K46">
        <v>5.5036813210197097</v>
      </c>
      <c r="L46">
        <v>-318.258000612258</v>
      </c>
      <c r="M46">
        <v>318.258000612258</v>
      </c>
      <c r="N46" s="2">
        <v>1.7985660700669202E-5</v>
      </c>
      <c r="O46" s="3">
        <v>46049.433152581019</v>
      </c>
      <c r="P46" s="3">
        <v>46049.433851180554</v>
      </c>
      <c r="Q46" s="1" t="s">
        <v>62</v>
      </c>
      <c r="R46" s="1" t="s">
        <v>68</v>
      </c>
      <c r="T46">
        <f t="shared" si="0"/>
        <v>-3.2330000000000041</v>
      </c>
    </row>
    <row r="47" spans="1:20" x14ac:dyDescent="0.3">
      <c r="A47">
        <v>46</v>
      </c>
      <c r="B47">
        <v>3</v>
      </c>
      <c r="C47">
        <v>1769509462.41366</v>
      </c>
      <c r="D47">
        <v>1769509526.9196601</v>
      </c>
      <c r="E47">
        <v>64.506</v>
      </c>
      <c r="F47">
        <v>1769509785</v>
      </c>
      <c r="G47">
        <v>1769509848</v>
      </c>
      <c r="H47">
        <v>63.094999999999999</v>
      </c>
      <c r="I47">
        <v>1.411</v>
      </c>
      <c r="J47">
        <v>1.411</v>
      </c>
      <c r="K47">
        <v>2.21158141393876</v>
      </c>
      <c r="L47">
        <v>-321.08033347129799</v>
      </c>
      <c r="M47">
        <v>321.08033347129799</v>
      </c>
      <c r="N47" s="2">
        <v>1.8145158274449201E-5</v>
      </c>
      <c r="O47" s="3">
        <v>46049.433592754627</v>
      </c>
      <c r="P47" s="3">
        <v>46049.43433935185</v>
      </c>
      <c r="Q47" s="1" t="s">
        <v>63</v>
      </c>
      <c r="R47" s="1" t="s">
        <v>69</v>
      </c>
      <c r="T47">
        <f t="shared" si="0"/>
        <v>-1.4110000000000014</v>
      </c>
    </row>
    <row r="48" spans="1:20" x14ac:dyDescent="0.3">
      <c r="A48">
        <v>47</v>
      </c>
      <c r="B48">
        <v>2</v>
      </c>
      <c r="C48">
        <v>1769509473.2343299</v>
      </c>
      <c r="D48">
        <v>1769509530.1783299</v>
      </c>
      <c r="E48">
        <v>56.943999999999903</v>
      </c>
      <c r="F48">
        <v>1769509793</v>
      </c>
      <c r="G48">
        <v>1769509850</v>
      </c>
      <c r="H48">
        <v>57.386000000000003</v>
      </c>
      <c r="I48">
        <v>-0.442000000000007</v>
      </c>
      <c r="J48">
        <v>0.442000000000007</v>
      </c>
      <c r="K48">
        <v>0.77320038485088305</v>
      </c>
      <c r="L48">
        <v>-319.82166671752901</v>
      </c>
      <c r="M48">
        <v>319.82166671752901</v>
      </c>
      <c r="N48" s="2">
        <v>1.80740274274176E-5</v>
      </c>
      <c r="O48" s="3">
        <v>46049.43371798611</v>
      </c>
      <c r="P48" s="3">
        <v>46049.434377060184</v>
      </c>
      <c r="Q48" s="1" t="s">
        <v>67</v>
      </c>
      <c r="R48" s="1" t="s">
        <v>70</v>
      </c>
      <c r="T48">
        <f t="shared" si="0"/>
        <v>0.44200000000009965</v>
      </c>
    </row>
    <row r="49" spans="1:20" x14ac:dyDescent="0.3">
      <c r="A49">
        <v>48</v>
      </c>
      <c r="B49">
        <v>1</v>
      </c>
      <c r="C49">
        <v>1769509473.53566</v>
      </c>
      <c r="D49">
        <v>1769509534.12533</v>
      </c>
      <c r="E49">
        <v>60.589666666666602</v>
      </c>
      <c r="F49">
        <v>1769509794</v>
      </c>
      <c r="G49">
        <v>1769509854</v>
      </c>
      <c r="H49">
        <v>60.398000000000003</v>
      </c>
      <c r="I49">
        <v>0.19166666666666199</v>
      </c>
      <c r="J49">
        <v>0.19166666666666199</v>
      </c>
      <c r="K49">
        <v>0.31683670236359501</v>
      </c>
      <c r="L49">
        <v>-319.87466645240698</v>
      </c>
      <c r="M49">
        <v>319.87466645240698</v>
      </c>
      <c r="N49" s="2">
        <v>1.80770225518233E-5</v>
      </c>
      <c r="O49" s="3">
        <v>46049.43372148148</v>
      </c>
      <c r="P49" s="3">
        <v>46049.434422743056</v>
      </c>
      <c r="Q49" s="1" t="s">
        <v>64</v>
      </c>
      <c r="R49" s="1" t="s">
        <v>71</v>
      </c>
      <c r="T49">
        <f t="shared" si="0"/>
        <v>-0.19166666666659893</v>
      </c>
    </row>
    <row r="50" spans="1:20" x14ac:dyDescent="0.3">
      <c r="A50">
        <v>49</v>
      </c>
      <c r="B50">
        <v>4</v>
      </c>
      <c r="C50">
        <v>1769509481.43066</v>
      </c>
      <c r="D50">
        <v>1769509551.6853299</v>
      </c>
      <c r="E50">
        <v>70.254666666666594</v>
      </c>
      <c r="F50">
        <v>1769509795</v>
      </c>
      <c r="G50">
        <v>1769509853</v>
      </c>
      <c r="H50">
        <v>58.515999999999998</v>
      </c>
      <c r="I50">
        <v>11.7386666666666</v>
      </c>
      <c r="J50">
        <v>11.7386666666666</v>
      </c>
      <c r="K50">
        <v>18.231895462734698</v>
      </c>
      <c r="L50">
        <v>-301.31466722488398</v>
      </c>
      <c r="M50">
        <v>301.31466722488398</v>
      </c>
      <c r="N50" s="2">
        <v>1.7028144396494199E-5</v>
      </c>
      <c r="O50" s="3">
        <v>46049.433812858799</v>
      </c>
      <c r="P50" s="3">
        <v>46049.434625983798</v>
      </c>
      <c r="Q50" s="1" t="s">
        <v>66</v>
      </c>
      <c r="R50" s="1" t="s">
        <v>72</v>
      </c>
      <c r="T50">
        <f t="shared" si="0"/>
        <v>-11.738666666666596</v>
      </c>
    </row>
    <row r="51" spans="1:20" x14ac:dyDescent="0.3">
      <c r="A51">
        <v>50</v>
      </c>
      <c r="B51">
        <v>5</v>
      </c>
      <c r="C51">
        <v>1769509484.7419901</v>
      </c>
      <c r="D51">
        <v>1769509552.7616601</v>
      </c>
      <c r="E51">
        <v>68.019666666666595</v>
      </c>
      <c r="F51">
        <v>1769509803</v>
      </c>
      <c r="G51">
        <v>1769509864</v>
      </c>
      <c r="H51">
        <v>60.387</v>
      </c>
      <c r="I51">
        <v>7.63266666666666</v>
      </c>
      <c r="J51">
        <v>7.63266666666666</v>
      </c>
      <c r="K51">
        <v>11.8882716369866</v>
      </c>
      <c r="L51">
        <v>-311.23833394050598</v>
      </c>
      <c r="M51">
        <v>311.23833394050598</v>
      </c>
      <c r="N51" s="2">
        <v>1.7588958820988899E-5</v>
      </c>
      <c r="O51" s="3">
        <v>46049.433851180554</v>
      </c>
      <c r="P51" s="3">
        <v>46049.434638449071</v>
      </c>
      <c r="Q51" s="1" t="s">
        <v>68</v>
      </c>
      <c r="R51" s="1" t="s">
        <v>73</v>
      </c>
      <c r="T51">
        <f t="shared" si="0"/>
        <v>-7.6326666666665943</v>
      </c>
    </row>
    <row r="52" spans="1:20" x14ac:dyDescent="0.3">
      <c r="A52">
        <v>51</v>
      </c>
      <c r="B52">
        <v>3</v>
      </c>
      <c r="C52">
        <v>1769509526.9196601</v>
      </c>
      <c r="D52">
        <v>1769509590.4823301</v>
      </c>
      <c r="E52">
        <v>63.562666666666601</v>
      </c>
      <c r="F52">
        <v>1769509848</v>
      </c>
      <c r="G52">
        <v>1769509905</v>
      </c>
      <c r="H52">
        <v>57.744</v>
      </c>
      <c r="I52">
        <v>5.81866666666666</v>
      </c>
      <c r="J52">
        <v>5.81866666666666</v>
      </c>
      <c r="K52">
        <v>9.5933172125741901</v>
      </c>
      <c r="L52">
        <v>-314.51766681671103</v>
      </c>
      <c r="M52">
        <v>314.51766681671103</v>
      </c>
      <c r="N52" s="2">
        <v>1.77742828045001E-5</v>
      </c>
      <c r="O52" s="3">
        <v>46049.43433935185</v>
      </c>
      <c r="P52" s="3">
        <v>46049.435075023146</v>
      </c>
      <c r="Q52" s="1" t="s">
        <v>69</v>
      </c>
      <c r="R52" s="1" t="s">
        <v>74</v>
      </c>
      <c r="T52">
        <f t="shared" si="0"/>
        <v>-5.8186666666666014</v>
      </c>
    </row>
    <row r="53" spans="1:20" x14ac:dyDescent="0.3">
      <c r="A53">
        <v>52</v>
      </c>
      <c r="B53">
        <v>2</v>
      </c>
      <c r="C53">
        <v>1769509530.1783299</v>
      </c>
      <c r="D53">
        <v>1769509589.7016599</v>
      </c>
      <c r="E53">
        <v>59.523333333333298</v>
      </c>
      <c r="F53">
        <v>1769509850</v>
      </c>
      <c r="G53">
        <v>1769509908</v>
      </c>
      <c r="H53">
        <v>57.622</v>
      </c>
      <c r="I53">
        <v>1.90133333333333</v>
      </c>
      <c r="J53">
        <v>1.90133333333333</v>
      </c>
      <c r="K53">
        <v>3.2461102448240902</v>
      </c>
      <c r="L53">
        <v>-318.29833340644802</v>
      </c>
      <c r="M53">
        <v>318.29833340644802</v>
      </c>
      <c r="N53" s="2">
        <v>1.7987938953891502E-5</v>
      </c>
      <c r="O53" s="3">
        <v>46049.434377060184</v>
      </c>
      <c r="P53" s="3">
        <v>46049.435065995371</v>
      </c>
      <c r="Q53" s="1" t="s">
        <v>70</v>
      </c>
      <c r="R53" s="1" t="s">
        <v>75</v>
      </c>
      <c r="T53">
        <f t="shared" si="0"/>
        <v>-1.901333333333298</v>
      </c>
    </row>
    <row r="54" spans="1:20" x14ac:dyDescent="0.3">
      <c r="A54">
        <v>53</v>
      </c>
      <c r="B54">
        <v>1</v>
      </c>
      <c r="C54">
        <v>1769509534.12533</v>
      </c>
      <c r="D54">
        <v>1769509594.82566</v>
      </c>
      <c r="E54">
        <v>60.700333333333298</v>
      </c>
      <c r="F54">
        <v>1769509853</v>
      </c>
      <c r="G54">
        <v>1769509915</v>
      </c>
      <c r="H54">
        <v>61.448999999999998</v>
      </c>
      <c r="I54">
        <v>-0.74866666666666504</v>
      </c>
      <c r="J54">
        <v>0.74866666666666504</v>
      </c>
      <c r="K54">
        <v>1.22582194472339</v>
      </c>
      <c r="L54">
        <v>-320.17433309555003</v>
      </c>
      <c r="M54">
        <v>320.17433309555003</v>
      </c>
      <c r="N54" s="2">
        <v>1.8093956939577402E-5</v>
      </c>
      <c r="O54" s="3">
        <v>46049.434422743056</v>
      </c>
      <c r="P54" s="3">
        <v>46049.435125300923</v>
      </c>
      <c r="Q54" s="1" t="s">
        <v>72</v>
      </c>
      <c r="R54" s="1" t="s">
        <v>76</v>
      </c>
      <c r="T54">
        <f t="shared" si="0"/>
        <v>0.74866666666670056</v>
      </c>
    </row>
    <row r="55" spans="1:20" x14ac:dyDescent="0.3">
      <c r="A55">
        <v>54</v>
      </c>
      <c r="B55">
        <v>4</v>
      </c>
      <c r="C55">
        <v>1769509551.6853299</v>
      </c>
      <c r="D55">
        <v>1769509609.5023301</v>
      </c>
      <c r="E55">
        <v>57.817</v>
      </c>
      <c r="F55">
        <v>1769509854</v>
      </c>
      <c r="G55">
        <v>1769509914</v>
      </c>
      <c r="H55">
        <v>59.396000000000001</v>
      </c>
      <c r="I55">
        <v>-1.579</v>
      </c>
      <c r="J55">
        <v>1.579</v>
      </c>
      <c r="K55">
        <v>2.6942403999556301</v>
      </c>
      <c r="L55">
        <v>-304.49766731262201</v>
      </c>
      <c r="M55">
        <v>304.49766731262201</v>
      </c>
      <c r="N55" s="2">
        <v>1.7208024159826099E-5</v>
      </c>
      <c r="O55" s="3">
        <v>46049.434625983798</v>
      </c>
      <c r="P55" s="3">
        <v>46049.435295162039</v>
      </c>
      <c r="Q55" s="1" t="s">
        <v>71</v>
      </c>
      <c r="R55" s="1" t="s">
        <v>77</v>
      </c>
      <c r="T55">
        <f t="shared" si="0"/>
        <v>1.5790000000000006</v>
      </c>
    </row>
    <row r="56" spans="1:20" x14ac:dyDescent="0.3">
      <c r="A56">
        <v>55</v>
      </c>
      <c r="B56">
        <v>5</v>
      </c>
      <c r="C56">
        <v>1769509552.7616601</v>
      </c>
      <c r="D56">
        <v>1769509613.41733</v>
      </c>
      <c r="E56">
        <v>60.655666666666598</v>
      </c>
      <c r="F56">
        <v>1769509863</v>
      </c>
      <c r="G56">
        <v>1769509925</v>
      </c>
      <c r="H56">
        <v>61.755000000000003</v>
      </c>
      <c r="I56">
        <v>-1.0993333333333299</v>
      </c>
      <c r="J56">
        <v>1.0993333333333299</v>
      </c>
      <c r="K56">
        <v>1.7961397699546799</v>
      </c>
      <c r="L56">
        <v>-311.58266735076899</v>
      </c>
      <c r="M56">
        <v>311.58266735076899</v>
      </c>
      <c r="N56" s="2">
        <v>1.7608417470908301E-5</v>
      </c>
      <c r="O56" s="3">
        <v>46049.434638449071</v>
      </c>
      <c r="P56" s="3">
        <v>46049.435340474534</v>
      </c>
      <c r="Q56" s="1" t="s">
        <v>78</v>
      </c>
      <c r="R56" s="1" t="s">
        <v>79</v>
      </c>
      <c r="T56">
        <f t="shared" si="0"/>
        <v>1.099333333333405</v>
      </c>
    </row>
    <row r="57" spans="1:20" x14ac:dyDescent="0.3">
      <c r="A57">
        <v>56</v>
      </c>
      <c r="B57">
        <v>2</v>
      </c>
      <c r="C57">
        <v>1769509589.7016599</v>
      </c>
      <c r="D57">
        <v>1769509646.392</v>
      </c>
      <c r="E57">
        <v>56.690333333333299</v>
      </c>
      <c r="F57">
        <v>1769509905</v>
      </c>
      <c r="G57">
        <v>1769509961</v>
      </c>
      <c r="H57">
        <v>55.634999999999998</v>
      </c>
      <c r="I57">
        <v>1.0553333333333299</v>
      </c>
      <c r="J57">
        <v>1.0553333333333299</v>
      </c>
      <c r="K57">
        <v>1.8790655714353599</v>
      </c>
      <c r="L57">
        <v>-314.60800004005398</v>
      </c>
      <c r="M57">
        <v>314.60800004005398</v>
      </c>
      <c r="N57" s="2">
        <v>1.7779387228198901E-5</v>
      </c>
      <c r="O57" s="3">
        <v>46049.435065995371</v>
      </c>
      <c r="P57" s="3">
        <v>46049.43572212963</v>
      </c>
      <c r="Q57" s="1" t="s">
        <v>74</v>
      </c>
      <c r="R57" s="1" t="s">
        <v>80</v>
      </c>
      <c r="T57">
        <f t="shared" si="0"/>
        <v>-1.0553333333333015</v>
      </c>
    </row>
    <row r="58" spans="1:20" x14ac:dyDescent="0.3">
      <c r="A58">
        <v>57</v>
      </c>
      <c r="B58">
        <v>3</v>
      </c>
      <c r="C58">
        <v>1769509590.4823301</v>
      </c>
      <c r="D58">
        <v>1769509650.69066</v>
      </c>
      <c r="E58">
        <v>60.2083333333333</v>
      </c>
      <c r="F58">
        <v>1769509908</v>
      </c>
      <c r="G58">
        <v>1769509964</v>
      </c>
      <c r="H58">
        <v>56.682000000000002</v>
      </c>
      <c r="I58">
        <v>3.52633333333333</v>
      </c>
      <c r="J58">
        <v>3.52633333333333</v>
      </c>
      <c r="K58">
        <v>6.0335756307193904</v>
      </c>
      <c r="L58">
        <v>-313.30933356284999</v>
      </c>
      <c r="M58">
        <v>313.30933356284999</v>
      </c>
      <c r="N58" s="2">
        <v>1.7705995878761801E-5</v>
      </c>
      <c r="O58" s="3">
        <v>46049.435075023146</v>
      </c>
      <c r="P58" s="3">
        <v>46049.435771886572</v>
      </c>
      <c r="Q58" s="1" t="s">
        <v>75</v>
      </c>
      <c r="R58" s="1" t="s">
        <v>81</v>
      </c>
      <c r="T58">
        <f t="shared" si="0"/>
        <v>-3.526333333333298</v>
      </c>
    </row>
    <row r="59" spans="1:20" x14ac:dyDescent="0.3">
      <c r="A59">
        <v>58</v>
      </c>
      <c r="B59">
        <v>1</v>
      </c>
      <c r="C59">
        <v>1769509594.82566</v>
      </c>
      <c r="D59">
        <v>1769509653.43066</v>
      </c>
      <c r="E59">
        <v>58.604999999999997</v>
      </c>
      <c r="F59">
        <v>1769509914</v>
      </c>
      <c r="G59">
        <v>1769509971</v>
      </c>
      <c r="H59">
        <v>57.895000000000003</v>
      </c>
      <c r="I59">
        <v>0.70999999999999297</v>
      </c>
      <c r="J59">
        <v>0.70999999999999297</v>
      </c>
      <c r="K59">
        <v>1.21888412017166</v>
      </c>
      <c r="L59">
        <v>-317.56933307647699</v>
      </c>
      <c r="M59">
        <v>317.56933307647699</v>
      </c>
      <c r="N59" s="2">
        <v>1.7946740441009301E-5</v>
      </c>
      <c r="O59" s="3">
        <v>46049.435125300923</v>
      </c>
      <c r="P59" s="3">
        <v>46049.435803599539</v>
      </c>
      <c r="Q59" s="1" t="s">
        <v>77</v>
      </c>
      <c r="R59" s="1" t="s">
        <v>82</v>
      </c>
      <c r="T59">
        <f t="shared" si="0"/>
        <v>-0.70999999999999375</v>
      </c>
    </row>
    <row r="60" spans="1:20" x14ac:dyDescent="0.3">
      <c r="A60">
        <v>59</v>
      </c>
      <c r="B60">
        <v>4</v>
      </c>
      <c r="C60">
        <v>1769509609.5023301</v>
      </c>
      <c r="D60">
        <v>1769509677.71433</v>
      </c>
      <c r="E60">
        <v>68.212000000000003</v>
      </c>
      <c r="F60">
        <v>1769509915</v>
      </c>
      <c r="G60">
        <v>1769509975</v>
      </c>
      <c r="H60">
        <v>60.31</v>
      </c>
      <c r="I60">
        <v>7.9020000000000001</v>
      </c>
      <c r="J60">
        <v>7.9020000000000001</v>
      </c>
      <c r="K60">
        <v>12.296727408537</v>
      </c>
      <c r="L60">
        <v>-297.28566741943303</v>
      </c>
      <c r="M60">
        <v>297.28566741943303</v>
      </c>
      <c r="N60" s="2">
        <v>1.6800453040232399E-5</v>
      </c>
      <c r="O60" s="3">
        <v>46049.435295162039</v>
      </c>
      <c r="P60" s="3">
        <v>46049.436084652778</v>
      </c>
      <c r="Q60" s="1" t="s">
        <v>76</v>
      </c>
      <c r="R60" s="1" t="s">
        <v>83</v>
      </c>
      <c r="T60">
        <f t="shared" si="0"/>
        <v>-7.902000000000001</v>
      </c>
    </row>
    <row r="61" spans="1:20" x14ac:dyDescent="0.3">
      <c r="A61">
        <v>60</v>
      </c>
      <c r="B61">
        <v>5</v>
      </c>
      <c r="C61">
        <v>1769509613.41733</v>
      </c>
      <c r="D61">
        <v>1769509669.51333</v>
      </c>
      <c r="E61">
        <v>56.095999999999997</v>
      </c>
      <c r="F61">
        <v>1769509925</v>
      </c>
      <c r="G61">
        <v>1769509989</v>
      </c>
      <c r="H61">
        <v>63.646000000000001</v>
      </c>
      <c r="I61">
        <v>-7.5499999999999901</v>
      </c>
      <c r="J61">
        <v>7.5499999999999901</v>
      </c>
      <c r="K61">
        <v>12.610445791785599</v>
      </c>
      <c r="L61">
        <v>-319.486667394638</v>
      </c>
      <c r="M61">
        <v>319.486667394638</v>
      </c>
      <c r="N61" s="2">
        <v>1.80550942477017E-5</v>
      </c>
      <c r="O61" s="3">
        <v>46049.435340474534</v>
      </c>
      <c r="P61" s="3">
        <v>46049.435989733793</v>
      </c>
      <c r="Q61" s="1" t="s">
        <v>79</v>
      </c>
      <c r="R61" s="1" t="s">
        <v>84</v>
      </c>
      <c r="T61">
        <f t="shared" si="0"/>
        <v>7.5500000000000043</v>
      </c>
    </row>
    <row r="62" spans="1:20" x14ac:dyDescent="0.3">
      <c r="A62">
        <v>61</v>
      </c>
      <c r="B62">
        <v>2</v>
      </c>
      <c r="C62">
        <v>1769509646.392</v>
      </c>
      <c r="D62">
        <v>1769509704.0650001</v>
      </c>
      <c r="E62">
        <v>57.673000000000002</v>
      </c>
      <c r="F62">
        <v>1769509961</v>
      </c>
      <c r="G62">
        <v>1769510020</v>
      </c>
      <c r="H62">
        <v>59.216000000000001</v>
      </c>
      <c r="I62">
        <v>-1.5429999999999899</v>
      </c>
      <c r="J62">
        <v>1.5429999999999899</v>
      </c>
      <c r="K62">
        <v>2.64011155882931</v>
      </c>
      <c r="L62">
        <v>-315.93499994277897</v>
      </c>
      <c r="M62">
        <v>315.93499994277897</v>
      </c>
      <c r="N62" s="2">
        <v>1.7854379154456301E-5</v>
      </c>
      <c r="O62" s="3">
        <v>46049.43572212963</v>
      </c>
      <c r="P62" s="3">
        <v>46049.436389641203</v>
      </c>
      <c r="Q62" s="1" t="s">
        <v>80</v>
      </c>
      <c r="R62" s="1" t="s">
        <v>85</v>
      </c>
      <c r="T62">
        <f t="shared" si="0"/>
        <v>1.5429999999999993</v>
      </c>
    </row>
    <row r="63" spans="1:20" x14ac:dyDescent="0.3">
      <c r="A63">
        <v>62</v>
      </c>
      <c r="B63">
        <v>3</v>
      </c>
      <c r="C63">
        <v>1769509650.69066</v>
      </c>
      <c r="D63">
        <v>1769509711.6733301</v>
      </c>
      <c r="E63">
        <v>60.982666666666603</v>
      </c>
      <c r="F63">
        <v>1769509964</v>
      </c>
      <c r="G63">
        <v>1769510021</v>
      </c>
      <c r="H63">
        <v>57.463000000000001</v>
      </c>
      <c r="I63">
        <v>3.5196666666666601</v>
      </c>
      <c r="J63">
        <v>3.5196666666666601</v>
      </c>
      <c r="K63">
        <v>5.9430906435299402</v>
      </c>
      <c r="L63">
        <v>-309.32666683196999</v>
      </c>
      <c r="M63">
        <v>309.32666683196999</v>
      </c>
      <c r="N63" s="2">
        <v>1.7480923543667701E-5</v>
      </c>
      <c r="O63" s="3">
        <v>46049.435771886572</v>
      </c>
      <c r="P63" s="3">
        <v>46049.436477696756</v>
      </c>
      <c r="Q63" s="1" t="s">
        <v>81</v>
      </c>
      <c r="R63" s="1" t="s">
        <v>86</v>
      </c>
      <c r="T63">
        <f t="shared" si="0"/>
        <v>-3.5196666666666019</v>
      </c>
    </row>
    <row r="64" spans="1:20" x14ac:dyDescent="0.3">
      <c r="A64">
        <v>63</v>
      </c>
      <c r="B64">
        <v>1</v>
      </c>
      <c r="C64">
        <v>1769509653.43066</v>
      </c>
      <c r="D64">
        <v>1769509713.7063301</v>
      </c>
      <c r="E64">
        <v>60.275666666666602</v>
      </c>
      <c r="F64">
        <v>1769509971</v>
      </c>
      <c r="G64">
        <v>1769510028</v>
      </c>
      <c r="H64">
        <v>56.27</v>
      </c>
      <c r="I64">
        <v>4.0056666666666603</v>
      </c>
      <c r="J64">
        <v>4.0056666666666603</v>
      </c>
      <c r="K64">
        <v>6.8739864488025999</v>
      </c>
      <c r="L64">
        <v>-314.293666362762</v>
      </c>
      <c r="M64">
        <v>314.293666362762</v>
      </c>
      <c r="N64" s="2">
        <v>1.7761622669628002E-5</v>
      </c>
      <c r="O64" s="3">
        <v>46049.435803599539</v>
      </c>
      <c r="P64" s="3">
        <v>46049.436501226854</v>
      </c>
      <c r="Q64" s="1" t="s">
        <v>82</v>
      </c>
      <c r="R64" s="1" t="s">
        <v>87</v>
      </c>
      <c r="T64">
        <f t="shared" si="0"/>
        <v>-4.005666666666599</v>
      </c>
    </row>
    <row r="65" spans="1:20" x14ac:dyDescent="0.3">
      <c r="A65">
        <v>64</v>
      </c>
      <c r="B65">
        <v>5</v>
      </c>
      <c r="C65">
        <v>1769509669.51333</v>
      </c>
      <c r="D65">
        <v>1769509727.18733</v>
      </c>
      <c r="E65">
        <v>57.673999999999999</v>
      </c>
      <c r="F65">
        <v>1769509975</v>
      </c>
      <c r="G65">
        <v>1769510031</v>
      </c>
      <c r="H65">
        <v>55.923000000000002</v>
      </c>
      <c r="I65">
        <v>1.7509999999999899</v>
      </c>
      <c r="J65">
        <v>1.7509999999999899</v>
      </c>
      <c r="K65">
        <v>3.0828278915816298</v>
      </c>
      <c r="L65">
        <v>-303.81266736984202</v>
      </c>
      <c r="M65">
        <v>303.81266736984202</v>
      </c>
      <c r="N65" s="2">
        <v>1.71693117376351E-5</v>
      </c>
      <c r="O65" s="3">
        <v>46049.435989733793</v>
      </c>
      <c r="P65" s="3">
        <v>46049.436657256942</v>
      </c>
      <c r="Q65" s="1" t="s">
        <v>83</v>
      </c>
      <c r="R65" s="1" t="s">
        <v>88</v>
      </c>
      <c r="T65">
        <f t="shared" si="0"/>
        <v>-1.7509999999999977</v>
      </c>
    </row>
    <row r="66" spans="1:20" x14ac:dyDescent="0.3">
      <c r="A66">
        <v>65</v>
      </c>
      <c r="B66">
        <v>4</v>
      </c>
      <c r="C66">
        <v>1769509677.71433</v>
      </c>
      <c r="D66">
        <v>1769509743.43433</v>
      </c>
      <c r="E66">
        <v>65.72</v>
      </c>
      <c r="F66">
        <v>1769509989</v>
      </c>
      <c r="G66">
        <v>1769510049</v>
      </c>
      <c r="H66">
        <v>60.482999999999997</v>
      </c>
      <c r="I66">
        <v>5.2370000000000001</v>
      </c>
      <c r="J66">
        <v>5.2370000000000001</v>
      </c>
      <c r="K66">
        <v>8.2993272743120201</v>
      </c>
      <c r="L66">
        <v>-305.56566739082302</v>
      </c>
      <c r="M66">
        <v>305.56566739082302</v>
      </c>
      <c r="N66" s="2">
        <v>1.72683785518271E-5</v>
      </c>
      <c r="O66" s="3">
        <v>46049.436084652778</v>
      </c>
      <c r="P66" s="3">
        <v>46049.436845300923</v>
      </c>
      <c r="Q66" s="1" t="s">
        <v>84</v>
      </c>
      <c r="R66" s="1" t="s">
        <v>89</v>
      </c>
      <c r="T66">
        <f t="shared" si="0"/>
        <v>-5.2370000000000019</v>
      </c>
    </row>
    <row r="67" spans="1:20" x14ac:dyDescent="0.3">
      <c r="A67">
        <v>66</v>
      </c>
      <c r="B67">
        <v>2</v>
      </c>
      <c r="C67">
        <v>1769509704.0650001</v>
      </c>
      <c r="D67">
        <v>1769509764.60166</v>
      </c>
      <c r="E67">
        <v>60.536666666666598</v>
      </c>
      <c r="F67">
        <v>1769510020</v>
      </c>
      <c r="G67">
        <v>1769510078</v>
      </c>
      <c r="H67">
        <v>57.442</v>
      </c>
      <c r="I67">
        <v>3.0946666666666598</v>
      </c>
      <c r="J67">
        <v>3.0946666666666598</v>
      </c>
      <c r="K67">
        <v>5.2461461959224103</v>
      </c>
      <c r="L67">
        <v>-313.39833331108002</v>
      </c>
      <c r="M67">
        <v>313.39833331108002</v>
      </c>
      <c r="N67" s="2">
        <v>1.7711024365474499E-5</v>
      </c>
      <c r="O67" s="3">
        <v>46049.436389641203</v>
      </c>
      <c r="P67" s="3">
        <v>46049.437090300926</v>
      </c>
      <c r="Q67" s="1" t="s">
        <v>85</v>
      </c>
      <c r="R67" s="1" t="s">
        <v>90</v>
      </c>
      <c r="T67">
        <f t="shared" ref="T67:T98" si="1">H67-E67</f>
        <v>-3.0946666666665976</v>
      </c>
    </row>
    <row r="68" spans="1:20" x14ac:dyDescent="0.3">
      <c r="A68">
        <v>67</v>
      </c>
      <c r="B68">
        <v>3</v>
      </c>
      <c r="C68">
        <v>1769509711.6733301</v>
      </c>
      <c r="D68">
        <v>1769509768.85233</v>
      </c>
      <c r="E68">
        <v>57.179000000000002</v>
      </c>
      <c r="F68">
        <v>1769510021</v>
      </c>
      <c r="G68">
        <v>1769510080</v>
      </c>
      <c r="H68">
        <v>58.512999999999998</v>
      </c>
      <c r="I68">
        <v>-1.3339999999999901</v>
      </c>
      <c r="J68">
        <v>1.3339999999999901</v>
      </c>
      <c r="K68">
        <v>2.30612315458285</v>
      </c>
      <c r="L68">
        <v>-311.147666931152</v>
      </c>
      <c r="M68">
        <v>311.147666931152</v>
      </c>
      <c r="N68" s="2">
        <v>1.7583832824902301E-5</v>
      </c>
      <c r="O68" s="3">
        <v>46049.436477696756</v>
      </c>
      <c r="P68" s="3">
        <v>46049.437139490743</v>
      </c>
      <c r="Q68" s="1" t="s">
        <v>86</v>
      </c>
      <c r="R68" s="1" t="s">
        <v>91</v>
      </c>
      <c r="T68">
        <f t="shared" si="1"/>
        <v>1.3339999999999961</v>
      </c>
    </row>
    <row r="69" spans="1:20" x14ac:dyDescent="0.3">
      <c r="A69">
        <v>68</v>
      </c>
      <c r="B69">
        <v>1</v>
      </c>
      <c r="C69">
        <v>1769509713.7063301</v>
      </c>
      <c r="D69">
        <v>1769509777.4849999</v>
      </c>
      <c r="E69">
        <v>63.778666666666602</v>
      </c>
      <c r="F69">
        <v>1769510028</v>
      </c>
      <c r="G69">
        <v>1769510083</v>
      </c>
      <c r="H69">
        <v>55.695</v>
      </c>
      <c r="I69">
        <v>8.0836666666666694</v>
      </c>
      <c r="J69">
        <v>8.0836666666666694</v>
      </c>
      <c r="K69">
        <v>13.532131208829799</v>
      </c>
      <c r="L69">
        <v>-305.51499962806702</v>
      </c>
      <c r="M69">
        <v>305.51499962806702</v>
      </c>
      <c r="N69" s="2">
        <v>1.7265514841513099E-5</v>
      </c>
      <c r="O69" s="3">
        <v>46049.436501226854</v>
      </c>
      <c r="P69" s="3">
        <v>46049.437239409723</v>
      </c>
      <c r="Q69" s="1" t="s">
        <v>87</v>
      </c>
      <c r="R69" s="1" t="s">
        <v>92</v>
      </c>
      <c r="T69">
        <f t="shared" si="1"/>
        <v>-8.0836666666666019</v>
      </c>
    </row>
    <row r="70" spans="1:20" x14ac:dyDescent="0.3">
      <c r="A70">
        <v>69</v>
      </c>
      <c r="B70">
        <v>5</v>
      </c>
      <c r="C70">
        <v>1769509727.18733</v>
      </c>
      <c r="D70">
        <v>1769509786.7683301</v>
      </c>
      <c r="E70">
        <v>59.580999999999896</v>
      </c>
      <c r="F70">
        <v>1769510031</v>
      </c>
      <c r="G70">
        <v>1769510087</v>
      </c>
      <c r="H70">
        <v>56.271000000000001</v>
      </c>
      <c r="I70">
        <v>3.3099999999999898</v>
      </c>
      <c r="J70">
        <v>3.3099999999999898</v>
      </c>
      <c r="K70">
        <v>5.7141870662569403</v>
      </c>
      <c r="L70">
        <v>-300.23166728019697</v>
      </c>
      <c r="M70">
        <v>300.23166728019697</v>
      </c>
      <c r="N70" s="2">
        <v>1.6966938756436599E-5</v>
      </c>
      <c r="O70" s="3">
        <v>46049.436657256942</v>
      </c>
      <c r="P70" s="3">
        <v>46049.437346851853</v>
      </c>
      <c r="Q70" s="1" t="s">
        <v>88</v>
      </c>
      <c r="R70" s="1" t="s">
        <v>93</v>
      </c>
      <c r="T70">
        <f t="shared" si="1"/>
        <v>-3.3099999999998957</v>
      </c>
    </row>
    <row r="71" spans="1:20" x14ac:dyDescent="0.3">
      <c r="A71">
        <v>70</v>
      </c>
      <c r="B71">
        <v>4</v>
      </c>
      <c r="C71">
        <v>1769509743.43433</v>
      </c>
      <c r="D71">
        <v>1769509804.7649901</v>
      </c>
      <c r="E71">
        <v>61.330666666666602</v>
      </c>
      <c r="F71">
        <v>1769510049</v>
      </c>
      <c r="G71">
        <v>1769510110</v>
      </c>
      <c r="H71">
        <v>60.640999999999998</v>
      </c>
      <c r="I71">
        <v>0.68966666666666698</v>
      </c>
      <c r="J71">
        <v>0.68966666666666698</v>
      </c>
      <c r="K71">
        <v>1.1308637251820699</v>
      </c>
      <c r="L71">
        <v>-305.23500061035099</v>
      </c>
      <c r="M71">
        <v>305.23500061035099</v>
      </c>
      <c r="N71" s="2">
        <v>1.7249691042251098E-5</v>
      </c>
      <c r="O71" s="3">
        <v>46049.436845300923</v>
      </c>
      <c r="P71" s="3">
        <v>46049.437555150464</v>
      </c>
      <c r="Q71" s="1" t="s">
        <v>89</v>
      </c>
      <c r="R71" s="1" t="s">
        <v>94</v>
      </c>
      <c r="T71">
        <f t="shared" si="1"/>
        <v>-0.68966666666660359</v>
      </c>
    </row>
    <row r="72" spans="1:20" x14ac:dyDescent="0.3">
      <c r="A72">
        <v>71</v>
      </c>
      <c r="B72">
        <v>2</v>
      </c>
      <c r="C72">
        <v>1769509764.60166</v>
      </c>
      <c r="D72">
        <v>1769509825.543</v>
      </c>
      <c r="E72">
        <v>60.941333333333297</v>
      </c>
      <c r="F72">
        <v>1769510078</v>
      </c>
      <c r="G72">
        <v>1769510134</v>
      </c>
      <c r="H72">
        <v>56.649000000000001</v>
      </c>
      <c r="I72">
        <v>4.29233333333333</v>
      </c>
      <c r="J72">
        <v>4.29233333333333</v>
      </c>
      <c r="K72">
        <v>7.3004867180125403</v>
      </c>
      <c r="L72">
        <v>-308.45700001716602</v>
      </c>
      <c r="M72">
        <v>308.45700001716602</v>
      </c>
      <c r="N72" s="2">
        <v>1.74317750983804E-5</v>
      </c>
      <c r="O72" s="3">
        <v>46049.437090300926</v>
      </c>
      <c r="P72" s="3">
        <v>46049.437795636572</v>
      </c>
      <c r="Q72" s="1" t="s">
        <v>90</v>
      </c>
      <c r="R72" s="1" t="s">
        <v>95</v>
      </c>
      <c r="T72">
        <f t="shared" si="1"/>
        <v>-4.2923333333332963</v>
      </c>
    </row>
    <row r="73" spans="1:20" x14ac:dyDescent="0.3">
      <c r="A73">
        <v>72</v>
      </c>
      <c r="B73">
        <v>3</v>
      </c>
      <c r="C73">
        <v>1769509768.85233</v>
      </c>
      <c r="D73">
        <v>1769509829.05566</v>
      </c>
      <c r="E73">
        <v>60.203333333333298</v>
      </c>
      <c r="F73">
        <v>1769510080</v>
      </c>
      <c r="G73">
        <v>1769510137</v>
      </c>
      <c r="H73">
        <v>57.972999999999999</v>
      </c>
      <c r="I73">
        <v>2.2303333333333399</v>
      </c>
      <c r="J73">
        <v>2.2303333333333399</v>
      </c>
      <c r="K73">
        <v>3.7745854358881901</v>
      </c>
      <c r="L73">
        <v>-307.94433355331398</v>
      </c>
      <c r="M73">
        <v>307.94433355331398</v>
      </c>
      <c r="N73" s="2">
        <v>1.7402802838466399E-5</v>
      </c>
      <c r="O73" s="3">
        <v>46049.437139490743</v>
      </c>
      <c r="P73" s="3">
        <v>46049.437836296296</v>
      </c>
      <c r="Q73" s="1" t="s">
        <v>91</v>
      </c>
      <c r="R73" s="1" t="s">
        <v>96</v>
      </c>
      <c r="T73">
        <f t="shared" si="1"/>
        <v>-2.2303333333332986</v>
      </c>
    </row>
    <row r="74" spans="1:20" x14ac:dyDescent="0.3">
      <c r="A74">
        <v>73</v>
      </c>
      <c r="B74">
        <v>1</v>
      </c>
      <c r="C74">
        <v>1769509777.4849999</v>
      </c>
      <c r="D74">
        <v>1769509838.08266</v>
      </c>
      <c r="E74">
        <v>60.597666666666598</v>
      </c>
      <c r="F74">
        <v>1769510083</v>
      </c>
      <c r="G74">
        <v>1769510144</v>
      </c>
      <c r="H74">
        <v>60.728000000000002</v>
      </c>
      <c r="I74">
        <v>-0.130333333333332</v>
      </c>
      <c r="J74">
        <v>0.130333333333332</v>
      </c>
      <c r="K74">
        <v>0.214848740442389</v>
      </c>
      <c r="L74">
        <v>-305.91733288764902</v>
      </c>
      <c r="M74">
        <v>305.91733288764902</v>
      </c>
      <c r="N74" s="2">
        <v>1.7288251235451901E-5</v>
      </c>
      <c r="O74" s="3">
        <v>46049.437239409723</v>
      </c>
      <c r="P74" s="3">
        <v>46049.43794077546</v>
      </c>
      <c r="Q74" s="1" t="s">
        <v>92</v>
      </c>
      <c r="R74" s="1" t="s">
        <v>97</v>
      </c>
      <c r="T74">
        <f t="shared" si="1"/>
        <v>0.1303333333334038</v>
      </c>
    </row>
    <row r="75" spans="1:20" x14ac:dyDescent="0.3">
      <c r="A75">
        <v>74</v>
      </c>
      <c r="B75">
        <v>5</v>
      </c>
      <c r="C75">
        <v>1769509786.7683301</v>
      </c>
      <c r="D75">
        <v>1769509850.89133</v>
      </c>
      <c r="E75">
        <v>64.123000000000005</v>
      </c>
      <c r="F75">
        <v>1769510087</v>
      </c>
      <c r="G75">
        <v>1769510145</v>
      </c>
      <c r="H75">
        <v>58.234000000000002</v>
      </c>
      <c r="I75">
        <v>5.8890000000000002</v>
      </c>
      <c r="J75">
        <v>5.8890000000000002</v>
      </c>
      <c r="K75">
        <v>9.6259306782611596</v>
      </c>
      <c r="L75">
        <v>-294.108667373657</v>
      </c>
      <c r="M75">
        <v>294.108667373657</v>
      </c>
      <c r="N75" s="2">
        <v>1.66209101793776E-5</v>
      </c>
      <c r="O75" s="3">
        <v>46049.437346851853</v>
      </c>
      <c r="P75" s="3">
        <v>46049.438089016207</v>
      </c>
      <c r="Q75" s="1" t="s">
        <v>93</v>
      </c>
      <c r="R75" s="1" t="s">
        <v>98</v>
      </c>
      <c r="T75">
        <f t="shared" si="1"/>
        <v>-5.8890000000000029</v>
      </c>
    </row>
    <row r="76" spans="1:20" x14ac:dyDescent="0.3">
      <c r="A76">
        <v>75</v>
      </c>
      <c r="B76">
        <v>4</v>
      </c>
      <c r="C76">
        <v>1769509804.7649901</v>
      </c>
      <c r="D76">
        <v>1769509865.72066</v>
      </c>
      <c r="E76">
        <v>60.955666666666602</v>
      </c>
      <c r="F76">
        <v>1769510110</v>
      </c>
      <c r="G76">
        <v>1769510174</v>
      </c>
      <c r="H76">
        <v>63.765999999999998</v>
      </c>
      <c r="I76">
        <v>-2.8103333333333298</v>
      </c>
      <c r="J76">
        <v>2.8103333333333298</v>
      </c>
      <c r="K76">
        <v>4.5065679579864399</v>
      </c>
      <c r="L76">
        <v>-308.27933382987902</v>
      </c>
      <c r="M76">
        <v>308.27933382987902</v>
      </c>
      <c r="N76" s="2">
        <v>1.7421734286320198E-5</v>
      </c>
      <c r="O76" s="3">
        <v>46049.437555150464</v>
      </c>
      <c r="P76" s="3">
        <v>46049.438260659721</v>
      </c>
      <c r="Q76" s="1" t="s">
        <v>94</v>
      </c>
      <c r="R76" s="1" t="s">
        <v>99</v>
      </c>
      <c r="T76">
        <f t="shared" si="1"/>
        <v>2.8103333333333964</v>
      </c>
    </row>
    <row r="77" spans="1:20" x14ac:dyDescent="0.3">
      <c r="A77">
        <v>76</v>
      </c>
      <c r="B77">
        <v>2</v>
      </c>
      <c r="C77">
        <v>1769509825.543</v>
      </c>
      <c r="D77">
        <v>1769509886.96966</v>
      </c>
      <c r="E77">
        <v>61.426666666666598</v>
      </c>
      <c r="F77">
        <v>1769510134</v>
      </c>
      <c r="G77">
        <v>1769510191</v>
      </c>
      <c r="H77">
        <v>57.341999999999999</v>
      </c>
      <c r="I77">
        <v>4.0846666666666698</v>
      </c>
      <c r="J77">
        <v>4.0846666666666698</v>
      </c>
      <c r="K77">
        <v>6.8783573669823097</v>
      </c>
      <c r="L77">
        <v>-304.03033328056301</v>
      </c>
      <c r="M77">
        <v>304.03033328056301</v>
      </c>
      <c r="N77" s="2">
        <v>1.7181611100380301E-5</v>
      </c>
      <c r="O77" s="3">
        <v>46049.437795636572</v>
      </c>
      <c r="P77" s="3">
        <v>46049.438506597224</v>
      </c>
      <c r="Q77" s="1" t="s">
        <v>95</v>
      </c>
      <c r="R77" s="1" t="s">
        <v>100</v>
      </c>
      <c r="T77">
        <f t="shared" si="1"/>
        <v>-4.0846666666665996</v>
      </c>
    </row>
    <row r="78" spans="1:20" x14ac:dyDescent="0.3">
      <c r="A78">
        <v>77</v>
      </c>
      <c r="B78">
        <v>3</v>
      </c>
      <c r="C78">
        <v>1769509829.05566</v>
      </c>
      <c r="D78">
        <v>1769509888.8199899</v>
      </c>
      <c r="E78">
        <v>59.764333333333298</v>
      </c>
      <c r="F78">
        <v>1769510137</v>
      </c>
      <c r="G78">
        <v>1769510196</v>
      </c>
      <c r="H78">
        <v>58.143000000000001</v>
      </c>
      <c r="I78">
        <v>1.62133333333333</v>
      </c>
      <c r="J78">
        <v>1.62133333333333</v>
      </c>
      <c r="K78">
        <v>2.7501823465885602</v>
      </c>
      <c r="L78">
        <v>-307.18000030517499</v>
      </c>
      <c r="M78">
        <v>307.18000030517499</v>
      </c>
      <c r="N78" s="2">
        <v>1.7359607628268001E-5</v>
      </c>
      <c r="O78" s="3">
        <v>46049.437836296296</v>
      </c>
      <c r="P78" s="3">
        <v>46049.438528009261</v>
      </c>
      <c r="Q78" s="1" t="s">
        <v>96</v>
      </c>
      <c r="R78" s="1" t="s">
        <v>101</v>
      </c>
      <c r="T78">
        <f t="shared" si="1"/>
        <v>-1.6213333333332969</v>
      </c>
    </row>
    <row r="79" spans="1:20" x14ac:dyDescent="0.3">
      <c r="A79">
        <v>78</v>
      </c>
      <c r="B79">
        <v>1</v>
      </c>
      <c r="C79">
        <v>1769509838.08266</v>
      </c>
      <c r="D79">
        <v>1769509898.94133</v>
      </c>
      <c r="E79">
        <v>60.858666666666601</v>
      </c>
      <c r="F79">
        <v>1769510144</v>
      </c>
      <c r="G79">
        <v>1769510205</v>
      </c>
      <c r="H79">
        <v>61.426000000000002</v>
      </c>
      <c r="I79">
        <v>-0.56733333333333702</v>
      </c>
      <c r="J79">
        <v>0.56733333333333702</v>
      </c>
      <c r="K79">
        <v>0.92788956914740595</v>
      </c>
      <c r="L79">
        <v>-306.05866622924799</v>
      </c>
      <c r="M79">
        <v>306.05866622924799</v>
      </c>
      <c r="N79" s="2">
        <v>1.7296237785617299E-5</v>
      </c>
      <c r="O79" s="3">
        <v>46049.43794077546</v>
      </c>
      <c r="P79" s="3">
        <v>46049.438645150462</v>
      </c>
      <c r="Q79" s="1" t="s">
        <v>97</v>
      </c>
      <c r="R79" s="1" t="s">
        <v>102</v>
      </c>
      <c r="T79">
        <f t="shared" si="1"/>
        <v>0.56733333333340141</v>
      </c>
    </row>
    <row r="80" spans="1:20" x14ac:dyDescent="0.3">
      <c r="A80">
        <v>79</v>
      </c>
      <c r="B80">
        <v>5</v>
      </c>
      <c r="C80">
        <v>1769509850.89133</v>
      </c>
      <c r="D80">
        <v>1769509922.9723301</v>
      </c>
      <c r="E80">
        <v>72.081000000000003</v>
      </c>
      <c r="F80">
        <v>1769510145</v>
      </c>
      <c r="G80">
        <v>1769510206</v>
      </c>
      <c r="H80">
        <v>60.689</v>
      </c>
      <c r="I80">
        <v>11.391999999999999</v>
      </c>
      <c r="J80">
        <v>11.391999999999999</v>
      </c>
      <c r="K80">
        <v>17.1605031257061</v>
      </c>
      <c r="L80">
        <v>-283.02766728401099</v>
      </c>
      <c r="M80">
        <v>283.02766728401099</v>
      </c>
      <c r="N80" s="2">
        <v>1.5994691014441702E-5</v>
      </c>
      <c r="O80" s="3">
        <v>46049.438089016207</v>
      </c>
      <c r="P80" s="3">
        <v>46049.438923287038</v>
      </c>
      <c r="Q80" s="1" t="s">
        <v>98</v>
      </c>
      <c r="R80" s="1" t="s">
        <v>103</v>
      </c>
      <c r="T80">
        <f t="shared" si="1"/>
        <v>-11.392000000000003</v>
      </c>
    </row>
    <row r="81" spans="1:20" x14ac:dyDescent="0.3">
      <c r="A81">
        <v>80</v>
      </c>
      <c r="B81">
        <v>4</v>
      </c>
      <c r="C81">
        <v>1769509865.72066</v>
      </c>
      <c r="D81">
        <v>1769509926.0503299</v>
      </c>
      <c r="E81">
        <v>60.329666666666597</v>
      </c>
      <c r="F81">
        <v>1769510174</v>
      </c>
      <c r="G81">
        <v>1769510236</v>
      </c>
      <c r="H81">
        <v>62.069000000000003</v>
      </c>
      <c r="I81">
        <v>-1.7393333333333301</v>
      </c>
      <c r="J81">
        <v>1.7393333333333301</v>
      </c>
      <c r="K81">
        <v>2.8420788897482501</v>
      </c>
      <c r="L81">
        <v>-309.94966721534701</v>
      </c>
      <c r="M81">
        <v>309.94966721534701</v>
      </c>
      <c r="N81" s="2">
        <v>1.75161289296401E-5</v>
      </c>
      <c r="O81" s="3">
        <v>46049.438260659721</v>
      </c>
      <c r="P81" s="3">
        <v>46049.43895891204</v>
      </c>
      <c r="Q81" s="1" t="s">
        <v>99</v>
      </c>
      <c r="R81" s="1" t="s">
        <v>104</v>
      </c>
      <c r="T81">
        <f t="shared" si="1"/>
        <v>1.7393333333334056</v>
      </c>
    </row>
    <row r="82" spans="1:20" x14ac:dyDescent="0.3">
      <c r="A82">
        <v>81</v>
      </c>
      <c r="B82">
        <v>2</v>
      </c>
      <c r="C82">
        <v>1769509886.96966</v>
      </c>
      <c r="D82">
        <v>1769509949.9949999</v>
      </c>
      <c r="E82">
        <v>63.0253333333333</v>
      </c>
      <c r="F82">
        <v>1769510191</v>
      </c>
      <c r="G82">
        <v>1769510250</v>
      </c>
      <c r="H82">
        <v>59.054000000000002</v>
      </c>
      <c r="I82">
        <v>3.97133333333334</v>
      </c>
      <c r="J82">
        <v>3.97133333333334</v>
      </c>
      <c r="K82">
        <v>6.5061517373948199</v>
      </c>
      <c r="L82">
        <v>-300.004999876022</v>
      </c>
      <c r="M82">
        <v>300.004999876022</v>
      </c>
      <c r="N82" s="2">
        <v>1.6954127578952201E-5</v>
      </c>
      <c r="O82" s="3">
        <v>46049.438506597224</v>
      </c>
      <c r="P82" s="3">
        <v>46049.439236053244</v>
      </c>
      <c r="Q82" s="1" t="s">
        <v>100</v>
      </c>
      <c r="R82" s="1" t="s">
        <v>105</v>
      </c>
      <c r="T82">
        <f t="shared" si="1"/>
        <v>-3.9713333333332983</v>
      </c>
    </row>
    <row r="83" spans="1:20" x14ac:dyDescent="0.3">
      <c r="A83">
        <v>82</v>
      </c>
      <c r="B83">
        <v>3</v>
      </c>
      <c r="C83">
        <v>1769509888.8199899</v>
      </c>
      <c r="D83">
        <v>1769509950.1026599</v>
      </c>
      <c r="E83">
        <v>61.2826666666666</v>
      </c>
      <c r="F83">
        <v>1769510196</v>
      </c>
      <c r="G83">
        <v>1769510253</v>
      </c>
      <c r="H83">
        <v>57.878999999999998</v>
      </c>
      <c r="I83">
        <v>3.40366666666666</v>
      </c>
      <c r="J83">
        <v>3.40366666666666</v>
      </c>
      <c r="K83">
        <v>5.7126872456186897</v>
      </c>
      <c r="L83">
        <v>-302.89733362197802</v>
      </c>
      <c r="M83">
        <v>302.89733362197802</v>
      </c>
      <c r="N83" s="2">
        <v>1.7117581490856001E-5</v>
      </c>
      <c r="O83" s="3">
        <v>46049.438528009261</v>
      </c>
      <c r="P83" s="3">
        <v>46049.439237303239</v>
      </c>
      <c r="Q83" s="1" t="s">
        <v>101</v>
      </c>
      <c r="R83" s="1" t="s">
        <v>106</v>
      </c>
      <c r="T83">
        <f t="shared" si="1"/>
        <v>-3.4036666666666022</v>
      </c>
    </row>
    <row r="84" spans="1:20" x14ac:dyDescent="0.3">
      <c r="A84">
        <v>83</v>
      </c>
      <c r="B84">
        <v>1</v>
      </c>
      <c r="C84">
        <v>1769509898.94133</v>
      </c>
      <c r="D84">
        <v>1769509959.6229999</v>
      </c>
      <c r="E84">
        <v>60.681666666666601</v>
      </c>
      <c r="F84">
        <v>1769510205</v>
      </c>
      <c r="G84">
        <v>1769510266</v>
      </c>
      <c r="H84">
        <v>60.573</v>
      </c>
      <c r="I84">
        <v>0.108666666666664</v>
      </c>
      <c r="J84">
        <v>0.108666666666664</v>
      </c>
      <c r="K84">
        <v>0.179237087782184</v>
      </c>
      <c r="L84">
        <v>-306.37699961662202</v>
      </c>
      <c r="M84">
        <v>306.37699961662202</v>
      </c>
      <c r="N84" s="2">
        <v>1.7314227107175599E-5</v>
      </c>
      <c r="O84" s="3">
        <v>46049.438645150462</v>
      </c>
      <c r="P84" s="3">
        <v>46049.439347488427</v>
      </c>
      <c r="Q84" s="1" t="s">
        <v>102</v>
      </c>
      <c r="R84" s="1" t="s">
        <v>107</v>
      </c>
      <c r="T84">
        <f t="shared" si="1"/>
        <v>-0.10866666666660052</v>
      </c>
    </row>
    <row r="85" spans="1:20" x14ac:dyDescent="0.3">
      <c r="A85">
        <v>84</v>
      </c>
      <c r="B85">
        <v>5</v>
      </c>
      <c r="C85">
        <v>1769509922.9723301</v>
      </c>
      <c r="D85">
        <v>1769509981.9816599</v>
      </c>
      <c r="E85">
        <v>59.009333333333302</v>
      </c>
      <c r="F85">
        <v>1769510206</v>
      </c>
      <c r="G85">
        <v>1769510267</v>
      </c>
      <c r="H85">
        <v>60.661000000000001</v>
      </c>
      <c r="I85">
        <v>-1.6516666666666699</v>
      </c>
      <c r="J85">
        <v>1.6516666666666699</v>
      </c>
      <c r="K85">
        <v>2.7603611031416899</v>
      </c>
      <c r="L85">
        <v>-285.01833391189501</v>
      </c>
      <c r="M85">
        <v>285.01833391189501</v>
      </c>
      <c r="N85" s="2">
        <v>1.61071886488306E-5</v>
      </c>
      <c r="O85" s="3">
        <v>46049.438923287038</v>
      </c>
      <c r="P85" s="3">
        <v>46049.439606273147</v>
      </c>
      <c r="Q85" s="1" t="s">
        <v>103</v>
      </c>
      <c r="R85" s="1" t="s">
        <v>108</v>
      </c>
      <c r="T85">
        <f t="shared" si="1"/>
        <v>1.6516666666666993</v>
      </c>
    </row>
    <row r="86" spans="1:20" x14ac:dyDescent="0.3">
      <c r="A86">
        <v>85</v>
      </c>
      <c r="B86">
        <v>4</v>
      </c>
      <c r="C86">
        <v>1769509926.0503299</v>
      </c>
      <c r="D86">
        <v>1769509983.4126599</v>
      </c>
      <c r="E86">
        <v>57.362333333333297</v>
      </c>
      <c r="F86">
        <v>1769510236</v>
      </c>
      <c r="G86">
        <v>1769510301</v>
      </c>
      <c r="H86">
        <v>65.665999999999997</v>
      </c>
      <c r="I86">
        <v>-8.3036666666666594</v>
      </c>
      <c r="J86">
        <v>8.3036666666666594</v>
      </c>
      <c r="K86">
        <v>13.498787542164999</v>
      </c>
      <c r="L86">
        <v>-317.587333917617</v>
      </c>
      <c r="M86">
        <v>317.587333917617</v>
      </c>
      <c r="N86" s="2">
        <v>1.7947754372384099E-5</v>
      </c>
      <c r="O86" s="3">
        <v>46049.43895891204</v>
      </c>
      <c r="P86" s="3">
        <v>46049.439622835649</v>
      </c>
      <c r="Q86" s="1" t="s">
        <v>104</v>
      </c>
      <c r="R86" s="1" t="s">
        <v>109</v>
      </c>
      <c r="T86">
        <f t="shared" si="1"/>
        <v>8.3036666666667003</v>
      </c>
    </row>
    <row r="87" spans="1:20" x14ac:dyDescent="0.3">
      <c r="A87">
        <v>86</v>
      </c>
      <c r="B87">
        <v>2</v>
      </c>
      <c r="C87">
        <v>1769509949.9949999</v>
      </c>
      <c r="D87">
        <v>1769510014.3800001</v>
      </c>
      <c r="E87">
        <v>64.384999999999906</v>
      </c>
      <c r="F87">
        <v>1769510250</v>
      </c>
      <c r="G87">
        <v>1769510306</v>
      </c>
      <c r="H87">
        <v>55.856000000000002</v>
      </c>
      <c r="I87">
        <v>8.5289999999999893</v>
      </c>
      <c r="J87">
        <v>8.5289999999999893</v>
      </c>
      <c r="K87">
        <v>14.1865087615704</v>
      </c>
      <c r="L87">
        <v>-291.61999988555903</v>
      </c>
      <c r="M87">
        <v>291.61999988555903</v>
      </c>
      <c r="N87" s="2">
        <v>1.64802670505292E-5</v>
      </c>
      <c r="O87" s="3">
        <v>46049.439236053244</v>
      </c>
      <c r="P87" s="3">
        <v>46049.439981249998</v>
      </c>
      <c r="Q87" s="1" t="s">
        <v>105</v>
      </c>
      <c r="R87" s="1" t="s">
        <v>110</v>
      </c>
      <c r="T87">
        <f t="shared" si="1"/>
        <v>-8.528999999999904</v>
      </c>
    </row>
    <row r="88" spans="1:20" x14ac:dyDescent="0.3">
      <c r="A88">
        <v>87</v>
      </c>
      <c r="B88">
        <v>3</v>
      </c>
      <c r="C88">
        <v>1769509950.1026599</v>
      </c>
      <c r="D88">
        <v>1769510010.54199</v>
      </c>
      <c r="E88">
        <v>60.439333333333302</v>
      </c>
      <c r="F88">
        <v>1769510253</v>
      </c>
      <c r="G88">
        <v>1769510310</v>
      </c>
      <c r="H88">
        <v>56.268000000000001</v>
      </c>
      <c r="I88">
        <v>4.1713333333333296</v>
      </c>
      <c r="J88">
        <v>4.1713333333333296</v>
      </c>
      <c r="K88">
        <v>7.1483654269083399</v>
      </c>
      <c r="L88">
        <v>-299.45800018310501</v>
      </c>
      <c r="M88">
        <v>299.45800018310501</v>
      </c>
      <c r="N88" s="2">
        <v>1.6923214509107001E-5</v>
      </c>
      <c r="O88" s="3">
        <v>46049.439237303239</v>
      </c>
      <c r="P88" s="3">
        <v>46049.439936828705</v>
      </c>
      <c r="Q88" s="1" t="s">
        <v>106</v>
      </c>
      <c r="R88" s="1" t="s">
        <v>111</v>
      </c>
      <c r="T88">
        <f t="shared" si="1"/>
        <v>-4.1713333333333011</v>
      </c>
    </row>
    <row r="89" spans="1:20" x14ac:dyDescent="0.3">
      <c r="A89">
        <v>88</v>
      </c>
      <c r="B89">
        <v>1</v>
      </c>
      <c r="C89">
        <v>1769509959.6229999</v>
      </c>
      <c r="D89">
        <v>1769510020.8206601</v>
      </c>
      <c r="E89">
        <v>61.197666666666599</v>
      </c>
      <c r="F89">
        <v>1769510266</v>
      </c>
      <c r="G89">
        <v>1769510323</v>
      </c>
      <c r="H89">
        <v>57.844000000000001</v>
      </c>
      <c r="I89">
        <v>3.3536666666666601</v>
      </c>
      <c r="J89">
        <v>3.3536666666666601</v>
      </c>
      <c r="K89">
        <v>5.6344417220861001</v>
      </c>
      <c r="L89">
        <v>-302.17933297157202</v>
      </c>
      <c r="M89">
        <v>302.17933297157202</v>
      </c>
      <c r="N89" s="2">
        <v>1.7077004572703001E-5</v>
      </c>
      <c r="O89" s="3">
        <v>46049.439347488427</v>
      </c>
      <c r="P89" s="3">
        <v>46049.440055798608</v>
      </c>
      <c r="Q89" s="1" t="s">
        <v>107</v>
      </c>
      <c r="R89" s="1" t="s">
        <v>112</v>
      </c>
      <c r="T89">
        <f t="shared" si="1"/>
        <v>-3.353666666666598</v>
      </c>
    </row>
    <row r="90" spans="1:20" x14ac:dyDescent="0.3">
      <c r="A90">
        <v>89</v>
      </c>
      <c r="B90">
        <v>5</v>
      </c>
      <c r="C90">
        <v>1769509981.9816599</v>
      </c>
      <c r="D90">
        <v>1769510052.38466</v>
      </c>
      <c r="E90">
        <v>70.403000000000006</v>
      </c>
      <c r="F90">
        <v>1769510267</v>
      </c>
      <c r="G90">
        <v>1769510324</v>
      </c>
      <c r="H90">
        <v>57.646000000000001</v>
      </c>
      <c r="I90">
        <v>12.757</v>
      </c>
      <c r="J90">
        <v>12.757</v>
      </c>
      <c r="K90">
        <v>19.925184890159201</v>
      </c>
      <c r="L90">
        <v>-271.61533379554697</v>
      </c>
      <c r="M90">
        <v>271.61533379554697</v>
      </c>
      <c r="N90" s="2">
        <v>1.5349746817395799E-5</v>
      </c>
      <c r="O90" s="3">
        <v>46049.439606273147</v>
      </c>
      <c r="P90" s="3">
        <v>46049.440421122687</v>
      </c>
      <c r="Q90" s="1" t="s">
        <v>108</v>
      </c>
      <c r="R90" s="1" t="s">
        <v>113</v>
      </c>
      <c r="T90">
        <f t="shared" si="1"/>
        <v>-12.757000000000005</v>
      </c>
    </row>
    <row r="91" spans="1:20" x14ac:dyDescent="0.3">
      <c r="A91">
        <v>90</v>
      </c>
      <c r="B91">
        <v>4</v>
      </c>
      <c r="C91">
        <v>1769509983.4126599</v>
      </c>
      <c r="D91">
        <v>1769510047.0369899</v>
      </c>
      <c r="E91">
        <v>63.624333333333297</v>
      </c>
      <c r="F91">
        <v>1769510301</v>
      </c>
      <c r="G91">
        <v>1769510364</v>
      </c>
      <c r="H91">
        <v>63.357999999999997</v>
      </c>
      <c r="I91">
        <v>0.26633333333333498</v>
      </c>
      <c r="J91">
        <v>0.26633333333333498</v>
      </c>
      <c r="K91">
        <v>0.41948092516807101</v>
      </c>
      <c r="L91">
        <v>-316.963000535964</v>
      </c>
      <c r="M91">
        <v>316.963000535964</v>
      </c>
      <c r="N91" s="2">
        <v>1.79124708943449E-5</v>
      </c>
      <c r="O91" s="3">
        <v>46049.439622835649</v>
      </c>
      <c r="P91" s="3">
        <v>46049.440359224536</v>
      </c>
      <c r="Q91" s="1" t="s">
        <v>109</v>
      </c>
      <c r="R91" s="1" t="s">
        <v>114</v>
      </c>
      <c r="T91">
        <f t="shared" si="1"/>
        <v>-0.2663333333333</v>
      </c>
    </row>
    <row r="92" spans="1:20" x14ac:dyDescent="0.3">
      <c r="A92">
        <v>91</v>
      </c>
      <c r="B92">
        <v>3</v>
      </c>
      <c r="C92">
        <v>1769510010.54199</v>
      </c>
      <c r="D92">
        <v>1769510071.1396599</v>
      </c>
      <c r="E92">
        <v>60.597666666666598</v>
      </c>
      <c r="F92">
        <v>1769510306</v>
      </c>
      <c r="G92">
        <v>1769510362</v>
      </c>
      <c r="H92">
        <v>56.703000000000003</v>
      </c>
      <c r="I92">
        <v>3.8946666666666601</v>
      </c>
      <c r="J92">
        <v>3.8946666666666601</v>
      </c>
      <c r="K92">
        <v>6.6404851350660099</v>
      </c>
      <c r="L92">
        <v>-290.86033344268799</v>
      </c>
      <c r="M92">
        <v>290.86033344268799</v>
      </c>
      <c r="N92" s="2">
        <v>1.6437335637796699E-5</v>
      </c>
      <c r="O92" s="3">
        <v>46049.439936828705</v>
      </c>
      <c r="P92" s="3">
        <v>46049.440638194443</v>
      </c>
      <c r="Q92" s="1" t="s">
        <v>110</v>
      </c>
      <c r="R92" s="1" t="s">
        <v>115</v>
      </c>
      <c r="T92">
        <f t="shared" si="1"/>
        <v>-3.8946666666665948</v>
      </c>
    </row>
    <row r="93" spans="1:20" x14ac:dyDescent="0.3">
      <c r="A93">
        <v>92</v>
      </c>
      <c r="B93">
        <v>2</v>
      </c>
      <c r="C93">
        <v>1769510014.3800001</v>
      </c>
      <c r="D93">
        <v>1769510075.41366</v>
      </c>
      <c r="E93">
        <v>61.033666666666598</v>
      </c>
      <c r="F93">
        <v>1769510310</v>
      </c>
      <c r="G93">
        <v>1769510369</v>
      </c>
      <c r="H93">
        <v>59.008000000000003</v>
      </c>
      <c r="I93">
        <v>2.0256666666666598</v>
      </c>
      <c r="J93">
        <v>2.0256666666666598</v>
      </c>
      <c r="K93">
        <v>3.37493925720235</v>
      </c>
      <c r="L93">
        <v>-293.58633327484102</v>
      </c>
      <c r="M93">
        <v>293.58633327484102</v>
      </c>
      <c r="N93" s="2">
        <v>1.6591389503740501E-5</v>
      </c>
      <c r="O93" s="3">
        <v>46049.439981249998</v>
      </c>
      <c r="P93" s="3">
        <v>46049.440687662034</v>
      </c>
      <c r="Q93" s="1" t="s">
        <v>111</v>
      </c>
      <c r="R93" s="1" t="s">
        <v>116</v>
      </c>
      <c r="T93">
        <f t="shared" si="1"/>
        <v>-2.025666666666595</v>
      </c>
    </row>
    <row r="94" spans="1:20" x14ac:dyDescent="0.3">
      <c r="A94">
        <v>93</v>
      </c>
      <c r="B94">
        <v>1</v>
      </c>
      <c r="C94">
        <v>1769510020.8206601</v>
      </c>
      <c r="D94">
        <v>1769510078.5633299</v>
      </c>
      <c r="E94">
        <v>57.742666666666601</v>
      </c>
      <c r="F94">
        <v>1769510323</v>
      </c>
      <c r="G94">
        <v>1769510380</v>
      </c>
      <c r="H94">
        <v>56.454999999999998</v>
      </c>
      <c r="I94">
        <v>1.2876666666666701</v>
      </c>
      <c r="J94">
        <v>1.2876666666666701</v>
      </c>
      <c r="K94">
        <v>2.2551540749519199</v>
      </c>
      <c r="L94">
        <v>-301.43666625022797</v>
      </c>
      <c r="M94">
        <v>301.43666625022797</v>
      </c>
      <c r="N94" s="2">
        <v>1.7035033833774201E-5</v>
      </c>
      <c r="O94" s="3">
        <v>46049.440055798608</v>
      </c>
      <c r="P94" s="3">
        <v>46049.440724108797</v>
      </c>
      <c r="Q94" s="1" t="s">
        <v>112</v>
      </c>
      <c r="R94" s="1" t="s">
        <v>117</v>
      </c>
      <c r="T94">
        <f t="shared" si="1"/>
        <v>-1.2876666666666026</v>
      </c>
    </row>
    <row r="95" spans="1:20" x14ac:dyDescent="0.3">
      <c r="A95">
        <v>94</v>
      </c>
      <c r="B95">
        <v>4</v>
      </c>
      <c r="C95">
        <v>1769510047.0369899</v>
      </c>
      <c r="D95">
        <v>1769510106.3406601</v>
      </c>
      <c r="E95">
        <v>59.303666666666601</v>
      </c>
      <c r="F95">
        <v>1769510324</v>
      </c>
      <c r="G95">
        <v>1769510383</v>
      </c>
      <c r="H95">
        <v>58.62</v>
      </c>
      <c r="I95">
        <v>0.68366666666666698</v>
      </c>
      <c r="J95">
        <v>0.68366666666666698</v>
      </c>
      <c r="K95">
        <v>1.1595071387988201</v>
      </c>
      <c r="L95">
        <v>-276.65933394432</v>
      </c>
      <c r="M95">
        <v>276.65933394432</v>
      </c>
      <c r="N95" s="2">
        <v>1.5634796960209899E-5</v>
      </c>
      <c r="O95" s="3">
        <v>46049.440359224536</v>
      </c>
      <c r="P95" s="3">
        <v>46049.441045613428</v>
      </c>
      <c r="Q95" s="1" t="s">
        <v>113</v>
      </c>
      <c r="R95" s="1" t="s">
        <v>118</v>
      </c>
      <c r="T95">
        <f t="shared" si="1"/>
        <v>-0.68366666666660336</v>
      </c>
    </row>
    <row r="96" spans="1:20" x14ac:dyDescent="0.3">
      <c r="A96">
        <v>95</v>
      </c>
      <c r="B96">
        <v>5</v>
      </c>
      <c r="C96">
        <v>1769510052.38466</v>
      </c>
      <c r="D96">
        <v>1769510115.5023301</v>
      </c>
      <c r="E96">
        <v>63.117666666666601</v>
      </c>
      <c r="F96">
        <v>1769510362</v>
      </c>
      <c r="G96">
        <v>1769510420</v>
      </c>
      <c r="H96">
        <v>58.02</v>
      </c>
      <c r="I96">
        <v>5.0976666666666599</v>
      </c>
      <c r="J96">
        <v>5.0976666666666599</v>
      </c>
      <c r="K96">
        <v>8.4163197243907106</v>
      </c>
      <c r="L96">
        <v>-304.49766707420298</v>
      </c>
      <c r="M96">
        <v>304.49766707420298</v>
      </c>
      <c r="N96" s="2">
        <v>1.7208019225634799E-5</v>
      </c>
      <c r="O96" s="3">
        <v>46049.440421122687</v>
      </c>
      <c r="P96" s="3">
        <v>46049.441151643521</v>
      </c>
      <c r="Q96" s="1" t="s">
        <v>115</v>
      </c>
      <c r="R96" s="1" t="s">
        <v>119</v>
      </c>
      <c r="T96">
        <f t="shared" si="1"/>
        <v>-5.0976666666665977</v>
      </c>
    </row>
    <row r="97" spans="1:20" x14ac:dyDescent="0.3">
      <c r="A97">
        <v>96</v>
      </c>
      <c r="B97">
        <v>3</v>
      </c>
      <c r="C97">
        <v>1769510071.1396599</v>
      </c>
      <c r="D97">
        <v>1769510091.36466</v>
      </c>
      <c r="E97">
        <v>20.225000000000001</v>
      </c>
      <c r="F97">
        <v>1769510364</v>
      </c>
      <c r="G97">
        <v>1769510403</v>
      </c>
      <c r="H97">
        <v>39.575000000000003</v>
      </c>
      <c r="I97">
        <v>-19.350000000000001</v>
      </c>
      <c r="J97">
        <v>19.350000000000001</v>
      </c>
      <c r="K97">
        <v>64.715719063545095</v>
      </c>
      <c r="L97">
        <v>-311.63533353805502</v>
      </c>
      <c r="M97">
        <v>311.63533353805502</v>
      </c>
      <c r="N97" s="2">
        <v>1.7611389028929599E-5</v>
      </c>
      <c r="O97" s="3">
        <v>46049.440638194443</v>
      </c>
      <c r="P97" s="3">
        <v>46049.440872280094</v>
      </c>
      <c r="Q97" s="1" t="s">
        <v>114</v>
      </c>
      <c r="R97" s="1" t="s">
        <v>120</v>
      </c>
      <c r="T97">
        <f t="shared" si="1"/>
        <v>19.350000000000001</v>
      </c>
    </row>
    <row r="98" spans="1:20" x14ac:dyDescent="0.3">
      <c r="A98">
        <v>97</v>
      </c>
      <c r="B98">
        <v>2</v>
      </c>
      <c r="C98">
        <v>1769510075.41366</v>
      </c>
      <c r="D98">
        <v>1769510095.63866</v>
      </c>
      <c r="E98">
        <v>20.225000000000001</v>
      </c>
      <c r="F98">
        <v>1769510369</v>
      </c>
      <c r="G98">
        <v>1769510388</v>
      </c>
      <c r="H98">
        <v>19.050999999999998</v>
      </c>
      <c r="I98">
        <v>1.1739999999999999</v>
      </c>
      <c r="J98">
        <v>1.1739999999999999</v>
      </c>
      <c r="K98">
        <v>5.9782055199103903</v>
      </c>
      <c r="L98">
        <v>-292.361333370208</v>
      </c>
      <c r="M98">
        <v>292.361333370208</v>
      </c>
      <c r="N98" s="2">
        <v>1.6522161130280599E-5</v>
      </c>
      <c r="O98" s="3">
        <v>46049.440687662034</v>
      </c>
      <c r="P98" s="3">
        <v>46049.440921747686</v>
      </c>
      <c r="Q98" s="1" t="s">
        <v>116</v>
      </c>
      <c r="R98" s="1" t="s">
        <v>121</v>
      </c>
      <c r="T98">
        <f t="shared" si="1"/>
        <v>-1.174000000000003</v>
      </c>
    </row>
    <row r="99" spans="1:20" x14ac:dyDescent="0.3">
      <c r="N99" s="2"/>
      <c r="O99" s="3"/>
      <c r="P99" s="3"/>
      <c r="Q99" s="1"/>
      <c r="R99" s="1"/>
    </row>
    <row r="100" spans="1:20" x14ac:dyDescent="0.3">
      <c r="N100" s="2"/>
      <c r="O100" s="3"/>
      <c r="P100" s="3"/>
      <c r="Q100" s="1"/>
      <c r="R100" s="1"/>
    </row>
    <row r="101" spans="1:20" x14ac:dyDescent="0.3">
      <c r="N101" s="2"/>
      <c r="O101" s="3"/>
      <c r="P101" s="3"/>
      <c r="Q101" s="1"/>
      <c r="R101" s="1"/>
    </row>
    <row r="102" spans="1:20" x14ac:dyDescent="0.3">
      <c r="N102" s="2"/>
      <c r="O102" s="3"/>
      <c r="P102" s="3"/>
      <c r="Q102" s="1"/>
      <c r="R102" s="1"/>
    </row>
    <row r="103" spans="1:20" x14ac:dyDescent="0.3">
      <c r="N103" s="2"/>
      <c r="O103" s="3"/>
      <c r="P103" s="3"/>
      <c r="Q103" s="1"/>
      <c r="R103" s="1"/>
    </row>
    <row r="104" spans="1:20" x14ac:dyDescent="0.3">
      <c r="N104" s="2"/>
      <c r="O104" s="3"/>
      <c r="P104" s="3"/>
      <c r="Q104" s="1"/>
      <c r="R104" s="1"/>
    </row>
    <row r="105" spans="1:20" x14ac:dyDescent="0.3">
      <c r="N105" s="2"/>
      <c r="O105" s="3"/>
      <c r="P105" s="3"/>
      <c r="Q105" s="1"/>
      <c r="R105" s="1"/>
    </row>
    <row r="106" spans="1:20" x14ac:dyDescent="0.3">
      <c r="N106" s="2"/>
      <c r="O106" s="3"/>
      <c r="P106" s="3"/>
      <c r="Q106" s="1"/>
      <c r="R106" s="1"/>
    </row>
    <row r="107" spans="1:20" x14ac:dyDescent="0.3">
      <c r="N107" s="2"/>
      <c r="O107" s="3"/>
      <c r="P107" s="3"/>
      <c r="Q107" s="1"/>
      <c r="R107" s="1"/>
    </row>
    <row r="108" spans="1:20" x14ac:dyDescent="0.3">
      <c r="N108" s="2"/>
      <c r="O108" s="3"/>
      <c r="P108" s="3"/>
      <c r="Q108" s="1"/>
      <c r="R108" s="1"/>
    </row>
    <row r="109" spans="1:20" x14ac:dyDescent="0.3">
      <c r="N109" s="2"/>
      <c r="O109" s="3"/>
      <c r="P109" s="3"/>
      <c r="Q109" s="1"/>
      <c r="R109" s="1"/>
    </row>
    <row r="110" spans="1:20" x14ac:dyDescent="0.3">
      <c r="N110" s="2"/>
      <c r="O110" s="3"/>
      <c r="P110" s="3"/>
      <c r="Q110" s="1"/>
      <c r="R110" s="1"/>
    </row>
    <row r="111" spans="1:20" x14ac:dyDescent="0.3">
      <c r="N111" s="2"/>
      <c r="O111" s="3"/>
      <c r="P111" s="3"/>
      <c r="Q111" s="1"/>
      <c r="R111" s="1"/>
    </row>
    <row r="112" spans="1:20" x14ac:dyDescent="0.3">
      <c r="N112" s="2"/>
      <c r="O112" s="3"/>
      <c r="P112" s="3"/>
      <c r="Q112" s="1"/>
      <c r="R112" s="1"/>
    </row>
    <row r="113" spans="14:18" x14ac:dyDescent="0.3">
      <c r="N113" s="2"/>
      <c r="O113" s="3"/>
      <c r="P113" s="3"/>
      <c r="Q113" s="1"/>
      <c r="R113" s="1"/>
    </row>
    <row r="114" spans="14:18" x14ac:dyDescent="0.3">
      <c r="N114" s="2"/>
      <c r="O114" s="3"/>
      <c r="P114" s="3"/>
      <c r="Q114" s="1"/>
      <c r="R114" s="1"/>
    </row>
    <row r="115" spans="14:18" x14ac:dyDescent="0.3">
      <c r="N115" s="2"/>
      <c r="O115" s="3"/>
      <c r="P115" s="3"/>
      <c r="Q115" s="1"/>
      <c r="R115" s="1"/>
    </row>
    <row r="116" spans="14:18" x14ac:dyDescent="0.3">
      <c r="N116" s="2"/>
      <c r="O116" s="3"/>
      <c r="P116" s="3"/>
      <c r="Q116" s="1"/>
      <c r="R116" s="1"/>
    </row>
    <row r="117" spans="14:18" x14ac:dyDescent="0.3">
      <c r="N117" s="2"/>
      <c r="O117" s="3"/>
      <c r="P117" s="3"/>
      <c r="Q117" s="1"/>
      <c r="R117" s="1"/>
    </row>
    <row r="118" spans="14:18" x14ac:dyDescent="0.3">
      <c r="N118" s="2"/>
      <c r="O118" s="3"/>
      <c r="P118" s="3"/>
      <c r="Q118" s="1"/>
      <c r="R118" s="1"/>
    </row>
    <row r="119" spans="14:18" x14ac:dyDescent="0.3">
      <c r="N119" s="2"/>
      <c r="O119" s="3"/>
      <c r="P119" s="3"/>
      <c r="Q119" s="1"/>
      <c r="R119" s="1"/>
    </row>
    <row r="120" spans="14:18" x14ac:dyDescent="0.3">
      <c r="N120" s="2"/>
      <c r="O120" s="3"/>
      <c r="P120" s="3"/>
      <c r="Q120" s="1"/>
      <c r="R120" s="1"/>
    </row>
    <row r="121" spans="14:18" x14ac:dyDescent="0.3">
      <c r="N121" s="2"/>
      <c r="O121" s="3"/>
      <c r="P121" s="3"/>
      <c r="Q121" s="1"/>
      <c r="R121" s="1"/>
    </row>
    <row r="122" spans="14:18" x14ac:dyDescent="0.3">
      <c r="N122" s="2"/>
      <c r="O122" s="3"/>
      <c r="P122" s="3"/>
      <c r="Q122" s="1"/>
      <c r="R122" s="1"/>
    </row>
    <row r="123" spans="14:18" x14ac:dyDescent="0.3">
      <c r="N123" s="2"/>
      <c r="O123" s="3"/>
      <c r="P123" s="3"/>
      <c r="Q123" s="1"/>
      <c r="R123" s="1"/>
    </row>
    <row r="124" spans="14:18" x14ac:dyDescent="0.3">
      <c r="N124" s="2"/>
      <c r="O124" s="3"/>
      <c r="P124" s="3"/>
      <c r="Q124" s="1"/>
      <c r="R124" s="1"/>
    </row>
    <row r="125" spans="14:18" x14ac:dyDescent="0.3">
      <c r="N125" s="2"/>
      <c r="O125" s="3"/>
      <c r="P125" s="3"/>
      <c r="Q125" s="1"/>
      <c r="R125" s="1"/>
    </row>
    <row r="126" spans="14:18" x14ac:dyDescent="0.3">
      <c r="N126" s="2"/>
      <c r="O126" s="3"/>
      <c r="P126" s="3"/>
      <c r="Q126" s="1"/>
      <c r="R126" s="1"/>
    </row>
    <row r="127" spans="14:18" x14ac:dyDescent="0.3">
      <c r="N127" s="2"/>
      <c r="O127" s="3"/>
      <c r="P127" s="3"/>
      <c r="Q127" s="1"/>
      <c r="R127" s="1"/>
    </row>
    <row r="128" spans="14:18" x14ac:dyDescent="0.3">
      <c r="N128" s="2"/>
      <c r="O128" s="3"/>
      <c r="P128" s="3"/>
      <c r="Q128" s="1"/>
      <c r="R128" s="1"/>
    </row>
    <row r="129" spans="14:18" x14ac:dyDescent="0.3">
      <c r="N129" s="2"/>
      <c r="O129" s="3"/>
      <c r="P129" s="3"/>
      <c r="Q129" s="1"/>
      <c r="R129" s="1"/>
    </row>
    <row r="130" spans="14:18" x14ac:dyDescent="0.3">
      <c r="N130" s="2"/>
      <c r="O130" s="3"/>
      <c r="P130" s="3"/>
      <c r="Q130" s="1"/>
      <c r="R130" s="1"/>
    </row>
    <row r="131" spans="14:18" x14ac:dyDescent="0.3">
      <c r="N131" s="2"/>
      <c r="O131" s="3"/>
      <c r="P131" s="3"/>
      <c r="Q131" s="1"/>
      <c r="R131" s="1"/>
    </row>
    <row r="132" spans="14:18" x14ac:dyDescent="0.3">
      <c r="N132" s="2"/>
      <c r="O132" s="3"/>
      <c r="P132" s="3"/>
      <c r="Q132" s="1"/>
      <c r="R132" s="1"/>
    </row>
    <row r="133" spans="14:18" x14ac:dyDescent="0.3">
      <c r="N133" s="2"/>
      <c r="O133" s="3"/>
      <c r="P133" s="3"/>
      <c r="Q133" s="1"/>
      <c r="R133" s="1"/>
    </row>
    <row r="134" spans="14:18" x14ac:dyDescent="0.3">
      <c r="N134" s="2"/>
      <c r="O134" s="3"/>
      <c r="P134" s="3"/>
      <c r="Q134" s="1"/>
      <c r="R134" s="1"/>
    </row>
    <row r="135" spans="14:18" x14ac:dyDescent="0.3">
      <c r="N135" s="2"/>
      <c r="O135" s="3"/>
      <c r="P135" s="3"/>
      <c r="Q135" s="1"/>
      <c r="R135" s="1"/>
    </row>
    <row r="136" spans="14:18" x14ac:dyDescent="0.3">
      <c r="N136" s="2"/>
      <c r="O136" s="3"/>
      <c r="P136" s="3"/>
      <c r="Q136" s="1"/>
      <c r="R136" s="1"/>
    </row>
    <row r="137" spans="14:18" x14ac:dyDescent="0.3">
      <c r="N137" s="2"/>
      <c r="O137" s="3"/>
      <c r="P137" s="3"/>
      <c r="Q137" s="1"/>
      <c r="R137" s="1"/>
    </row>
    <row r="138" spans="14:18" x14ac:dyDescent="0.3">
      <c r="N138" s="2"/>
      <c r="O138" s="3"/>
      <c r="P138" s="3"/>
      <c r="Q138" s="1"/>
      <c r="R138" s="1"/>
    </row>
    <row r="139" spans="14:18" x14ac:dyDescent="0.3">
      <c r="N139" s="2"/>
      <c r="O139" s="3"/>
      <c r="P139" s="3"/>
      <c r="Q139" s="1"/>
      <c r="R139" s="1"/>
    </row>
    <row r="140" spans="14:18" x14ac:dyDescent="0.3">
      <c r="N140" s="2"/>
      <c r="O140" s="3"/>
      <c r="P140" s="3"/>
      <c r="Q140" s="1"/>
      <c r="R140" s="1"/>
    </row>
    <row r="141" spans="14:18" x14ac:dyDescent="0.3">
      <c r="N141" s="2"/>
      <c r="O141" s="3"/>
      <c r="P141" s="3"/>
      <c r="Q141" s="1"/>
      <c r="R141" s="1"/>
    </row>
    <row r="142" spans="14:18" x14ac:dyDescent="0.3">
      <c r="N142" s="2"/>
      <c r="O142" s="3"/>
      <c r="P142" s="3"/>
      <c r="Q142" s="1"/>
      <c r="R142" s="1"/>
    </row>
    <row r="143" spans="14:18" x14ac:dyDescent="0.3">
      <c r="N143" s="2"/>
      <c r="O143" s="3"/>
      <c r="P143" s="3"/>
      <c r="Q143" s="1"/>
      <c r="R143" s="1"/>
    </row>
    <row r="144" spans="14:18" x14ac:dyDescent="0.3">
      <c r="N144" s="2"/>
      <c r="O144" s="3"/>
      <c r="P144" s="3"/>
      <c r="Q144" s="1"/>
      <c r="R144" s="1"/>
    </row>
    <row r="145" spans="14:18" x14ac:dyDescent="0.3">
      <c r="N145" s="2"/>
      <c r="O145" s="3"/>
      <c r="P145" s="3"/>
      <c r="Q145" s="1"/>
      <c r="R14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2026-06-18T11:34:16Z</dcterms:modified>
</cp:coreProperties>
</file>