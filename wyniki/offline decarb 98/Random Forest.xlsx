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 1/offline decarb 98/"/>
    </mc:Choice>
  </mc:AlternateContent>
  <xr:revisionPtr revIDLastSave="22" documentId="11_AD4DADEC636C813AC809E415181B7BC65BDEDD96" xr6:coauthVersionLast="47" xr6:coauthVersionMax="47" xr10:uidLastSave="{FB481C94-B328-462E-B491-09A2666F67A2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8" i="1" l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X2" i="1"/>
  <c r="W2" i="1"/>
  <c r="V2" i="1"/>
  <c r="U2" i="1"/>
  <c r="T2" i="1"/>
</calcChain>
</file>

<file path=xl/sharedStrings.xml><?xml version="1.0" encoding="utf-8"?>
<sst xmlns="http://schemas.openxmlformats.org/spreadsheetml/2006/main" count="217" uniqueCount="127">
  <si>
    <t>queue_position</t>
  </si>
  <si>
    <t>worker_id</t>
  </si>
  <si>
    <t>predicted_start_time</t>
  </si>
  <si>
    <t>predicted_end_time</t>
  </si>
  <si>
    <t>predicted_duration_seconds</t>
  </si>
  <si>
    <t>real_start_time</t>
  </si>
  <si>
    <t>real_end_time</t>
  </si>
  <si>
    <t>real_duration_seconds</t>
  </si>
  <si>
    <t>duration_error_seconds</t>
  </si>
  <si>
    <t>duration_abs_error_seconds</t>
  </si>
  <si>
    <t>duration_smape</t>
  </si>
  <si>
    <t>end_time_error_seconds</t>
  </si>
  <si>
    <t>end_time_abs_error_seconds</t>
  </si>
  <si>
    <t>end_time_smape</t>
  </si>
  <si>
    <t>predicted_start_datetime</t>
  </si>
  <si>
    <t>predicted_end_datetime</t>
  </si>
  <si>
    <t>real_start_datetime</t>
  </si>
  <si>
    <t>real_end_datetime</t>
  </si>
  <si>
    <t>27,01,2026  10:17:15</t>
  </si>
  <si>
    <t>27,01,2026  10:17:37</t>
  </si>
  <si>
    <t>27,01,2026  10:17:30</t>
  </si>
  <si>
    <t>27,01,2026  10:17:17</t>
  </si>
  <si>
    <t>27,01,2026  10:17:18</t>
  </si>
  <si>
    <t>27,01,2026  10:17:46</t>
  </si>
  <si>
    <t>27,01,2026  10:17:29</t>
  </si>
  <si>
    <t>27,01,2026  10:17:50</t>
  </si>
  <si>
    <t>27,01,2026  10:19:28</t>
  </si>
  <si>
    <t>27,01,2026  10:18:07</t>
  </si>
  <si>
    <t>27,01,2026  10:18:02</t>
  </si>
  <si>
    <t>27,01,2026  10:18:11</t>
  </si>
  <si>
    <t>27,01,2026  10:21:08</t>
  </si>
  <si>
    <t>27,01,2026  10:21:30</t>
  </si>
  <si>
    <t>27,01,2026  10:23:23</t>
  </si>
  <si>
    <t>27,01,2026  10:21:25</t>
  </si>
  <si>
    <t>27,01,2026  10:21:09</t>
  </si>
  <si>
    <t>27,01,2026  10:21:39</t>
  </si>
  <si>
    <t>27,01,2026  10:21:34</t>
  </si>
  <si>
    <t>27,01,2026  10:21:24</t>
  </si>
  <si>
    <t>27,01,2026  10:21:48</t>
  </si>
  <si>
    <t>27,01,2026  10:21:52</t>
  </si>
  <si>
    <t>27,01,2026  10:21:55</t>
  </si>
  <si>
    <t>27,01,2026  10:22:09</t>
  </si>
  <si>
    <t>27,01,2026  10:22:15</t>
  </si>
  <si>
    <t>27,01,2026  10:24:55</t>
  </si>
  <si>
    <t>27,01,2026  10:25:58</t>
  </si>
  <si>
    <t>27,01,2026  10:26:03</t>
  </si>
  <si>
    <t>27,01,2026  10:26:06</t>
  </si>
  <si>
    <t>27,01,2026  10:24:56</t>
  </si>
  <si>
    <t>27,01,2026  10:25:54</t>
  </si>
  <si>
    <t>27,01,2026  10:24:57</t>
  </si>
  <si>
    <t>27,01,2026  10:26:50</t>
  </si>
  <si>
    <t>27,01,2026  10:26:56</t>
  </si>
  <si>
    <t>27,01,2026  10:26:59</t>
  </si>
  <si>
    <t>27,01,2026  10:27:03</t>
  </si>
  <si>
    <t>27,01,2026  10:27:48</t>
  </si>
  <si>
    <t>27,01,2026  10:27:55</t>
  </si>
  <si>
    <t>27,01,2026  10:27:57</t>
  </si>
  <si>
    <t>27,01,2026  10:28:06</t>
  </si>
  <si>
    <t>27,01,2026  10:27:58</t>
  </si>
  <si>
    <t>27,01,2026  10:28:48</t>
  </si>
  <si>
    <t>27,01,2026  10:28:57</t>
  </si>
  <si>
    <t>27,01,2026  10:28:53</t>
  </si>
  <si>
    <t>27,01,2026  10:29:05</t>
  </si>
  <si>
    <t>27,01,2026  10:29:45</t>
  </si>
  <si>
    <t>27,01,2026  10:29:54</t>
  </si>
  <si>
    <t>27,01,2026  10:28:56</t>
  </si>
  <si>
    <t>27,01,2026  10:29:55</t>
  </si>
  <si>
    <t>27,01,2026  10:29:53</t>
  </si>
  <si>
    <t>27,01,2026  10:30:03</t>
  </si>
  <si>
    <t>27,01,2026  10:30:48</t>
  </si>
  <si>
    <t>27,01,2026  10:30:50</t>
  </si>
  <si>
    <t>27,01,2026  10:30:54</t>
  </si>
  <si>
    <t>27,01,2026  10:30:53</t>
  </si>
  <si>
    <t>27,01,2026  10:31:04</t>
  </si>
  <si>
    <t>27,01,2026  10:31:45</t>
  </si>
  <si>
    <t>27,01,2026  10:31:48</t>
  </si>
  <si>
    <t>27,01,2026  10:31:55</t>
  </si>
  <si>
    <t>27,01,2026  10:31:54</t>
  </si>
  <si>
    <t>27,01,2026  10:31:03</t>
  </si>
  <si>
    <t>27,01,2026  10:32:05</t>
  </si>
  <si>
    <t>27,01,2026  10:32:41</t>
  </si>
  <si>
    <t>27,01,2026  10:32:44</t>
  </si>
  <si>
    <t>27,01,2026  10:32:51</t>
  </si>
  <si>
    <t>27,01,2026  10:32:55</t>
  </si>
  <si>
    <t>27,01,2026  10:33:09</t>
  </si>
  <si>
    <t>27,01,2026  10:33:40</t>
  </si>
  <si>
    <t>27,01,2026  10:33:41</t>
  </si>
  <si>
    <t>27,01,2026  10:33:48</t>
  </si>
  <si>
    <t>27,01,2026  10:33:51</t>
  </si>
  <si>
    <t>27,01,2026  10:34:09</t>
  </si>
  <si>
    <t>27,01,2026  10:34:38</t>
  </si>
  <si>
    <t>27,01,2026  10:34:40</t>
  </si>
  <si>
    <t>27,01,2026  10:34:43</t>
  </si>
  <si>
    <t>27,01,2026  10:34:47</t>
  </si>
  <si>
    <t>27,01,2026  10:35:10</t>
  </si>
  <si>
    <t>27,01,2026  10:35:34</t>
  </si>
  <si>
    <t>27,01,2026  10:35:37</t>
  </si>
  <si>
    <t>27,01,2026  10:35:44</t>
  </si>
  <si>
    <t>27,01,2026  10:35:45</t>
  </si>
  <si>
    <t>27,01,2026  10:36:14</t>
  </si>
  <si>
    <t>27,01,2026  10:36:31</t>
  </si>
  <si>
    <t>27,01,2026  10:36:36</t>
  </si>
  <si>
    <t>27,01,2026  10:36:45</t>
  </si>
  <si>
    <t>27,01,2026  10:36:46</t>
  </si>
  <si>
    <t>27,01,2026  10:37:16</t>
  </si>
  <si>
    <t>27,01,2026  10:37:30</t>
  </si>
  <si>
    <t>27,01,2026  10:37:33</t>
  </si>
  <si>
    <t>27,01,2026  10:37:46</t>
  </si>
  <si>
    <t>27,01,2026  10:37:47</t>
  </si>
  <si>
    <t>27,01,2026  10:38:21</t>
  </si>
  <si>
    <t>27,01,2026  10:38:26</t>
  </si>
  <si>
    <t>27,01,2026  10:38:30</t>
  </si>
  <si>
    <t>27,01,2026  10:38:43</t>
  </si>
  <si>
    <t>27,01,2026  10:38:44</t>
  </si>
  <si>
    <t>27,01,2026  10:39:24</t>
  </si>
  <si>
    <t>27,01,2026  10:39:22</t>
  </si>
  <si>
    <t>27,01,2026  10:39:29</t>
  </si>
  <si>
    <t>27,01,2026  10:39:40</t>
  </si>
  <si>
    <t>27,01,2026  10:39:43</t>
  </si>
  <si>
    <t>27,01,2026  10:40:20</t>
  </si>
  <si>
    <t>27,01,2026  10:40:03</t>
  </si>
  <si>
    <t>27,01,2026  10:39:48</t>
  </si>
  <si>
    <t>residua</t>
  </si>
  <si>
    <t>średnie_res</t>
  </si>
  <si>
    <t>mediana_res</t>
  </si>
  <si>
    <t>pred_zawyzone</t>
  </si>
  <si>
    <t>pred_zanizone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</si>
</sst>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47" fontId="0" fillId="0" borderId="0" xfId="0" applyNumberFormat="1"/>
    <xf numFmtId="2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 vs Predicted Random Forest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</c:numCache>
            </c:numRef>
          </c:xVal>
          <c:yVal>
            <c:numRef>
              <c:f>Arkusz1!$E$2:$E$186</c:f>
              <c:numCache>
                <c:formatCode>General</c:formatCode>
                <c:ptCount val="185"/>
                <c:pt idx="0">
                  <c:v>138.16441574580799</c:v>
                </c:pt>
                <c:pt idx="1">
                  <c:v>138.16441574580799</c:v>
                </c:pt>
                <c:pt idx="2">
                  <c:v>138.16441574580799</c:v>
                </c:pt>
                <c:pt idx="3">
                  <c:v>138.16441574580799</c:v>
                </c:pt>
                <c:pt idx="4">
                  <c:v>138.16441574580799</c:v>
                </c:pt>
                <c:pt idx="5">
                  <c:v>138.16441574580799</c:v>
                </c:pt>
                <c:pt idx="6">
                  <c:v>138.16441574580799</c:v>
                </c:pt>
                <c:pt idx="7">
                  <c:v>138.16441574580799</c:v>
                </c:pt>
                <c:pt idx="8">
                  <c:v>138.16441574580799</c:v>
                </c:pt>
                <c:pt idx="9">
                  <c:v>138.16441574580799</c:v>
                </c:pt>
                <c:pt idx="10">
                  <c:v>138.16441574580799</c:v>
                </c:pt>
                <c:pt idx="11">
                  <c:v>138.16441574580799</c:v>
                </c:pt>
                <c:pt idx="12">
                  <c:v>138.16441574580799</c:v>
                </c:pt>
                <c:pt idx="13">
                  <c:v>138.16441574580799</c:v>
                </c:pt>
                <c:pt idx="14">
                  <c:v>138.16441574580799</c:v>
                </c:pt>
                <c:pt idx="15">
                  <c:v>138.16441574580799</c:v>
                </c:pt>
                <c:pt idx="16">
                  <c:v>138.16441574580799</c:v>
                </c:pt>
                <c:pt idx="17">
                  <c:v>138.16441574580799</c:v>
                </c:pt>
                <c:pt idx="18">
                  <c:v>138.16441574580799</c:v>
                </c:pt>
                <c:pt idx="19">
                  <c:v>138.16441574580799</c:v>
                </c:pt>
                <c:pt idx="20">
                  <c:v>60.487787211572098</c:v>
                </c:pt>
                <c:pt idx="21">
                  <c:v>60.7148389896794</c:v>
                </c:pt>
                <c:pt idx="22">
                  <c:v>61.280618444088802</c:v>
                </c:pt>
                <c:pt idx="23">
                  <c:v>59.584563087376502</c:v>
                </c:pt>
                <c:pt idx="24">
                  <c:v>59.9356077127226</c:v>
                </c:pt>
                <c:pt idx="25">
                  <c:v>60.489237427118098</c:v>
                </c:pt>
                <c:pt idx="26">
                  <c:v>59.581183401732197</c:v>
                </c:pt>
                <c:pt idx="27">
                  <c:v>60.040747760002198</c:v>
                </c:pt>
                <c:pt idx="28">
                  <c:v>62.218360455795903</c:v>
                </c:pt>
                <c:pt idx="29">
                  <c:v>61.082931812984697</c:v>
                </c:pt>
                <c:pt idx="30">
                  <c:v>57.261357137951997</c:v>
                </c:pt>
                <c:pt idx="31">
                  <c:v>62.631215030831299</c:v>
                </c:pt>
                <c:pt idx="32">
                  <c:v>61.580054364500199</c:v>
                </c:pt>
                <c:pt idx="33">
                  <c:v>60.426083633595603</c:v>
                </c:pt>
                <c:pt idx="34">
                  <c:v>60.271386457363</c:v>
                </c:pt>
                <c:pt idx="35">
                  <c:v>57.775196602033901</c:v>
                </c:pt>
                <c:pt idx="36">
                  <c:v>60.999603028493802</c:v>
                </c:pt>
                <c:pt idx="37">
                  <c:v>60.627628089438801</c:v>
                </c:pt>
                <c:pt idx="38">
                  <c:v>65.884600339865202</c:v>
                </c:pt>
                <c:pt idx="39">
                  <c:v>61.144992330775899</c:v>
                </c:pt>
                <c:pt idx="40">
                  <c:v>61.998380338989399</c:v>
                </c:pt>
                <c:pt idx="41">
                  <c:v>62.433126617994503</c:v>
                </c:pt>
                <c:pt idx="42">
                  <c:v>67.312592769215001</c:v>
                </c:pt>
                <c:pt idx="43">
                  <c:v>60.658574858680304</c:v>
                </c:pt>
                <c:pt idx="44">
                  <c:v>61.604058470011701</c:v>
                </c:pt>
                <c:pt idx="45">
                  <c:v>60.694454251969702</c:v>
                </c:pt>
                <c:pt idx="46">
                  <c:v>61.895182987137602</c:v>
                </c:pt>
                <c:pt idx="47">
                  <c:v>61.094223198675401</c:v>
                </c:pt>
                <c:pt idx="48">
                  <c:v>66.760297115902205</c:v>
                </c:pt>
                <c:pt idx="49">
                  <c:v>63.577599616899299</c:v>
                </c:pt>
                <c:pt idx="50">
                  <c:v>59.963323043115402</c:v>
                </c:pt>
                <c:pt idx="51">
                  <c:v>62.490815268773197</c:v>
                </c:pt>
                <c:pt idx="52">
                  <c:v>60.182976429430099</c:v>
                </c:pt>
                <c:pt idx="53">
                  <c:v>60.811568656907902</c:v>
                </c:pt>
                <c:pt idx="54">
                  <c:v>61.405764761452097</c:v>
                </c:pt>
                <c:pt idx="55">
                  <c:v>60.5470625513423</c:v>
                </c:pt>
                <c:pt idx="56">
                  <c:v>61.746438182682098</c:v>
                </c:pt>
                <c:pt idx="57">
                  <c:v>63.7878335007236</c:v>
                </c:pt>
                <c:pt idx="58">
                  <c:v>63.905798732940802</c:v>
                </c:pt>
                <c:pt idx="59">
                  <c:v>60.558579316529602</c:v>
                </c:pt>
                <c:pt idx="60">
                  <c:v>61.298874333997198</c:v>
                </c:pt>
                <c:pt idx="61">
                  <c:v>58.525028716285398</c:v>
                </c:pt>
                <c:pt idx="62">
                  <c:v>61.999443975840897</c:v>
                </c:pt>
                <c:pt idx="63">
                  <c:v>60.260879029834797</c:v>
                </c:pt>
                <c:pt idx="64">
                  <c:v>60.869621443677303</c:v>
                </c:pt>
                <c:pt idx="65">
                  <c:v>61.124425640974501</c:v>
                </c:pt>
                <c:pt idx="66">
                  <c:v>59.550592254043103</c:v>
                </c:pt>
                <c:pt idx="67">
                  <c:v>61.190974065472901</c:v>
                </c:pt>
                <c:pt idx="68">
                  <c:v>59.207505481267702</c:v>
                </c:pt>
                <c:pt idx="69">
                  <c:v>60.491784322385101</c:v>
                </c:pt>
                <c:pt idx="70">
                  <c:v>59.746133549076703</c:v>
                </c:pt>
                <c:pt idx="71">
                  <c:v>59.539282621592498</c:v>
                </c:pt>
                <c:pt idx="72">
                  <c:v>60.173714852200099</c:v>
                </c:pt>
                <c:pt idx="73">
                  <c:v>60.7270953859095</c:v>
                </c:pt>
                <c:pt idx="74">
                  <c:v>61.682549873340299</c:v>
                </c:pt>
                <c:pt idx="75">
                  <c:v>60.687438743548299</c:v>
                </c:pt>
                <c:pt idx="76">
                  <c:v>61.842548926568398</c:v>
                </c:pt>
                <c:pt idx="77">
                  <c:v>62.485696465055497</c:v>
                </c:pt>
                <c:pt idx="78">
                  <c:v>74.971349387835701</c:v>
                </c:pt>
                <c:pt idx="79">
                  <c:v>60.8810280900463</c:v>
                </c:pt>
                <c:pt idx="80">
                  <c:v>60.153103546130197</c:v>
                </c:pt>
                <c:pt idx="81">
                  <c:v>59.883719783672497</c:v>
                </c:pt>
                <c:pt idx="82">
                  <c:v>57.558477935036898</c:v>
                </c:pt>
                <c:pt idx="83">
                  <c:v>61.074615772364503</c:v>
                </c:pt>
                <c:pt idx="84">
                  <c:v>65.292478372528095</c:v>
                </c:pt>
                <c:pt idx="85">
                  <c:v>60.327525664700097</c:v>
                </c:pt>
                <c:pt idx="86">
                  <c:v>59.856652610412098</c:v>
                </c:pt>
                <c:pt idx="87">
                  <c:v>64.953730937726505</c:v>
                </c:pt>
                <c:pt idx="88">
                  <c:v>61.434448251371201</c:v>
                </c:pt>
                <c:pt idx="89">
                  <c:v>59.542024439727498</c:v>
                </c:pt>
                <c:pt idx="90">
                  <c:v>60.941563773794897</c:v>
                </c:pt>
                <c:pt idx="91">
                  <c:v>63.3734758019664</c:v>
                </c:pt>
                <c:pt idx="92">
                  <c:v>58.811751018787803</c:v>
                </c:pt>
                <c:pt idx="93">
                  <c:v>60.382275587281903</c:v>
                </c:pt>
                <c:pt idx="94">
                  <c:v>62.214498903235899</c:v>
                </c:pt>
                <c:pt idx="95">
                  <c:v>138.16441574580799</c:v>
                </c:pt>
                <c:pt idx="96">
                  <c:v>138.16441574580799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C4-4DB9-A839-5E7BF45D5A20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</c:numCache>
            </c:numRef>
          </c:xVal>
          <c:yVal>
            <c:numRef>
              <c:f>Arkusz1!$H$2:$H$186</c:f>
              <c:numCache>
                <c:formatCode>General</c:formatCode>
                <c:ptCount val="185"/>
                <c:pt idx="0">
                  <c:v>22.452000000000002</c:v>
                </c:pt>
                <c:pt idx="1">
                  <c:v>22.788</c:v>
                </c:pt>
                <c:pt idx="2">
                  <c:v>15.435</c:v>
                </c:pt>
                <c:pt idx="3">
                  <c:v>20.122</c:v>
                </c:pt>
                <c:pt idx="4">
                  <c:v>28.341000000000001</c:v>
                </c:pt>
                <c:pt idx="5">
                  <c:v>21.108000000000001</c:v>
                </c:pt>
                <c:pt idx="6">
                  <c:v>110.786</c:v>
                </c:pt>
                <c:pt idx="7">
                  <c:v>29.294</c:v>
                </c:pt>
                <c:pt idx="8">
                  <c:v>25.224</c:v>
                </c:pt>
                <c:pt idx="9">
                  <c:v>24.843</c:v>
                </c:pt>
                <c:pt idx="10">
                  <c:v>22.498000000000001</c:v>
                </c:pt>
                <c:pt idx="11">
                  <c:v>135.38999999999999</c:v>
                </c:pt>
                <c:pt idx="12">
                  <c:v>16.712</c:v>
                </c:pt>
                <c:pt idx="13">
                  <c:v>29.536999999999999</c:v>
                </c:pt>
                <c:pt idx="14">
                  <c:v>24.538</c:v>
                </c:pt>
                <c:pt idx="15">
                  <c:v>24.097999999999999</c:v>
                </c:pt>
                <c:pt idx="16">
                  <c:v>22.446000000000002</c:v>
                </c:pt>
                <c:pt idx="17">
                  <c:v>21.004000000000001</c:v>
                </c:pt>
                <c:pt idx="18">
                  <c:v>30.536999999999999</c:v>
                </c:pt>
                <c:pt idx="19">
                  <c:v>27.657</c:v>
                </c:pt>
                <c:pt idx="20">
                  <c:v>63.561</c:v>
                </c:pt>
                <c:pt idx="21">
                  <c:v>67.817999999999998</c:v>
                </c:pt>
                <c:pt idx="22">
                  <c:v>70.855999999999995</c:v>
                </c:pt>
                <c:pt idx="23">
                  <c:v>57.874000000000002</c:v>
                </c:pt>
                <c:pt idx="24">
                  <c:v>61.195</c:v>
                </c:pt>
                <c:pt idx="25">
                  <c:v>56.151000000000003</c:v>
                </c:pt>
                <c:pt idx="26">
                  <c:v>57.597000000000001</c:v>
                </c:pt>
                <c:pt idx="27">
                  <c:v>61.561</c:v>
                </c:pt>
                <c:pt idx="28">
                  <c:v>59.945</c:v>
                </c:pt>
                <c:pt idx="29">
                  <c:v>57.597000000000001</c:v>
                </c:pt>
                <c:pt idx="30">
                  <c:v>57.92</c:v>
                </c:pt>
                <c:pt idx="31">
                  <c:v>59.2</c:v>
                </c:pt>
                <c:pt idx="32">
                  <c:v>58.26</c:v>
                </c:pt>
                <c:pt idx="33">
                  <c:v>62.625</c:v>
                </c:pt>
                <c:pt idx="34">
                  <c:v>54.713999999999999</c:v>
                </c:pt>
                <c:pt idx="35">
                  <c:v>60.274999999999999</c:v>
                </c:pt>
                <c:pt idx="36">
                  <c:v>61.646000000000001</c:v>
                </c:pt>
                <c:pt idx="37">
                  <c:v>59.323</c:v>
                </c:pt>
                <c:pt idx="38">
                  <c:v>55.411999999999999</c:v>
                </c:pt>
                <c:pt idx="39">
                  <c:v>59.893000000000001</c:v>
                </c:pt>
                <c:pt idx="40">
                  <c:v>56.9</c:v>
                </c:pt>
                <c:pt idx="41">
                  <c:v>60.628</c:v>
                </c:pt>
                <c:pt idx="42">
                  <c:v>58.323999999999998</c:v>
                </c:pt>
                <c:pt idx="43">
                  <c:v>56.725999999999999</c:v>
                </c:pt>
                <c:pt idx="44">
                  <c:v>57.125999999999998</c:v>
                </c:pt>
                <c:pt idx="45">
                  <c:v>63.094999999999999</c:v>
                </c:pt>
                <c:pt idx="46">
                  <c:v>57.386000000000003</c:v>
                </c:pt>
                <c:pt idx="47">
                  <c:v>60.398000000000003</c:v>
                </c:pt>
                <c:pt idx="48">
                  <c:v>58.515999999999998</c:v>
                </c:pt>
                <c:pt idx="49">
                  <c:v>60.387</c:v>
                </c:pt>
                <c:pt idx="50">
                  <c:v>57.744</c:v>
                </c:pt>
                <c:pt idx="51">
                  <c:v>57.622</c:v>
                </c:pt>
                <c:pt idx="52">
                  <c:v>61.448999999999998</c:v>
                </c:pt>
                <c:pt idx="53">
                  <c:v>59.396000000000001</c:v>
                </c:pt>
                <c:pt idx="54">
                  <c:v>61.755000000000003</c:v>
                </c:pt>
                <c:pt idx="55">
                  <c:v>55.634999999999998</c:v>
                </c:pt>
                <c:pt idx="56">
                  <c:v>56.682000000000002</c:v>
                </c:pt>
                <c:pt idx="57">
                  <c:v>57.895000000000003</c:v>
                </c:pt>
                <c:pt idx="58">
                  <c:v>60.31</c:v>
                </c:pt>
                <c:pt idx="59">
                  <c:v>63.646000000000001</c:v>
                </c:pt>
                <c:pt idx="60">
                  <c:v>59.216000000000001</c:v>
                </c:pt>
                <c:pt idx="61">
                  <c:v>57.463000000000001</c:v>
                </c:pt>
                <c:pt idx="62">
                  <c:v>56.27</c:v>
                </c:pt>
                <c:pt idx="63">
                  <c:v>55.923000000000002</c:v>
                </c:pt>
                <c:pt idx="64">
                  <c:v>60.482999999999997</c:v>
                </c:pt>
                <c:pt idx="65">
                  <c:v>57.442</c:v>
                </c:pt>
                <c:pt idx="66">
                  <c:v>58.512999999999998</c:v>
                </c:pt>
                <c:pt idx="67">
                  <c:v>55.695</c:v>
                </c:pt>
                <c:pt idx="68">
                  <c:v>56.271000000000001</c:v>
                </c:pt>
                <c:pt idx="69">
                  <c:v>60.640999999999998</c:v>
                </c:pt>
                <c:pt idx="70">
                  <c:v>56.649000000000001</c:v>
                </c:pt>
                <c:pt idx="71">
                  <c:v>57.972999999999999</c:v>
                </c:pt>
                <c:pt idx="72">
                  <c:v>60.728000000000002</c:v>
                </c:pt>
                <c:pt idx="73">
                  <c:v>58.234000000000002</c:v>
                </c:pt>
                <c:pt idx="74">
                  <c:v>63.765999999999998</c:v>
                </c:pt>
                <c:pt idx="75">
                  <c:v>57.341999999999999</c:v>
                </c:pt>
                <c:pt idx="76">
                  <c:v>58.143000000000001</c:v>
                </c:pt>
                <c:pt idx="77">
                  <c:v>61.426000000000002</c:v>
                </c:pt>
                <c:pt idx="78">
                  <c:v>60.689</c:v>
                </c:pt>
                <c:pt idx="79">
                  <c:v>62.069000000000003</c:v>
                </c:pt>
                <c:pt idx="80">
                  <c:v>59.054000000000002</c:v>
                </c:pt>
                <c:pt idx="81">
                  <c:v>57.878999999999998</c:v>
                </c:pt>
                <c:pt idx="82">
                  <c:v>60.573</c:v>
                </c:pt>
                <c:pt idx="83">
                  <c:v>60.661000000000001</c:v>
                </c:pt>
                <c:pt idx="84">
                  <c:v>65.665999999999997</c:v>
                </c:pt>
                <c:pt idx="85">
                  <c:v>55.856000000000002</c:v>
                </c:pt>
                <c:pt idx="86">
                  <c:v>56.268000000000001</c:v>
                </c:pt>
                <c:pt idx="87">
                  <c:v>57.844000000000001</c:v>
                </c:pt>
                <c:pt idx="88">
                  <c:v>57.646000000000001</c:v>
                </c:pt>
                <c:pt idx="89">
                  <c:v>63.357999999999997</c:v>
                </c:pt>
                <c:pt idx="90">
                  <c:v>56.703000000000003</c:v>
                </c:pt>
                <c:pt idx="91">
                  <c:v>59.008000000000003</c:v>
                </c:pt>
                <c:pt idx="92">
                  <c:v>56.454999999999998</c:v>
                </c:pt>
                <c:pt idx="93">
                  <c:v>58.62</c:v>
                </c:pt>
                <c:pt idx="94">
                  <c:v>58.02</c:v>
                </c:pt>
                <c:pt idx="95">
                  <c:v>39.575000000000003</c:v>
                </c:pt>
                <c:pt idx="96">
                  <c:v>19.050999999999998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C4-4DB9-A839-5E7BF45D5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61072"/>
        <c:axId val="194558192"/>
      </c:scatterChart>
      <c:valAx>
        <c:axId val="19456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58192"/>
        <c:crosses val="autoZero"/>
        <c:crossBetween val="midCat"/>
      </c:valAx>
      <c:valAx>
        <c:axId val="19455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61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563879</xdr:colOff>
      <xdr:row>4</xdr:row>
      <xdr:rowOff>41910</xdr:rowOff>
    </xdr:from>
    <xdr:to>
      <xdr:col>21</xdr:col>
      <xdr:colOff>573740</xdr:colOff>
      <xdr:row>30</xdr:row>
      <xdr:rowOff>71717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303A3A4-A865-1ABD-9F13-2F688DBC9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8"/>
  <sheetViews>
    <sheetView tabSelected="1" topLeftCell="E1" zoomScaleNormal="100" workbookViewId="0">
      <selection activeCell="T2" sqref="T2"/>
    </sheetView>
  </sheetViews>
  <sheetFormatPr defaultRowHeight="14.4" x14ac:dyDescent="0.3"/>
  <cols>
    <col min="21" max="21" width="12.44140625" bestFit="1" customWidth="1"/>
    <col min="22" max="22" width="11.88671875" bestFit="1" customWidth="1"/>
    <col min="23" max="23" width="14" bestFit="1" customWidth="1"/>
    <col min="24" max="24" width="13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</row>
    <row r="2" spans="1:24" x14ac:dyDescent="0.3">
      <c r="A2">
        <v>1</v>
      </c>
      <c r="B2">
        <v>1</v>
      </c>
      <c r="C2">
        <v>1769509035</v>
      </c>
      <c r="D2">
        <v>1769509173.1644101</v>
      </c>
      <c r="E2">
        <v>138.16441574580799</v>
      </c>
      <c r="F2">
        <v>1769509035</v>
      </c>
      <c r="G2">
        <v>1769509057</v>
      </c>
      <c r="H2">
        <v>22.452000000000002</v>
      </c>
      <c r="I2">
        <v>115.712415745808</v>
      </c>
      <c r="J2">
        <v>115.712415745808</v>
      </c>
      <c r="K2">
        <v>144.08541643580801</v>
      </c>
      <c r="L2">
        <v>116.164415836334</v>
      </c>
      <c r="M2">
        <v>116.164415836334</v>
      </c>
      <c r="N2" s="1">
        <v>6.5647819977992798E-6</v>
      </c>
      <c r="O2" s="2">
        <v>46049.42864583333</v>
      </c>
      <c r="P2" s="2">
        <v>46049.430244953706</v>
      </c>
      <c r="Q2" s="3" t="s">
        <v>18</v>
      </c>
      <c r="R2" s="3" t="s">
        <v>19</v>
      </c>
      <c r="T2">
        <f>H2-E2</f>
        <v>-115.71241574580799</v>
      </c>
      <c r="U2">
        <f>AVERAGE(T2:T98)</f>
        <v>-25.392722679925345</v>
      </c>
      <c r="V2">
        <f>MEDIAN(T2:T98)</f>
        <v>-3.4859318129846955</v>
      </c>
      <c r="W2">
        <f>COUNTIF(T2:T98,"&lt;0")/COUNT(T2:T98)</f>
        <v>0.79381443298969068</v>
      </c>
      <c r="X2">
        <f>COUNTIF(T2:T98,"&gt;0")/COUNT(T2:T98)</f>
        <v>0.20618556701030927</v>
      </c>
    </row>
    <row r="3" spans="1:24" x14ac:dyDescent="0.3">
      <c r="A3">
        <v>2</v>
      </c>
      <c r="B3">
        <v>2</v>
      </c>
      <c r="C3">
        <v>1769509035</v>
      </c>
      <c r="D3">
        <v>1769509173.1644101</v>
      </c>
      <c r="E3">
        <v>138.16441574580799</v>
      </c>
      <c r="F3">
        <v>1769509035</v>
      </c>
      <c r="G3">
        <v>1769509057</v>
      </c>
      <c r="H3">
        <v>22.788</v>
      </c>
      <c r="I3">
        <v>115.376415745808</v>
      </c>
      <c r="J3">
        <v>115.376415745808</v>
      </c>
      <c r="K3">
        <v>143.36711283417</v>
      </c>
      <c r="L3">
        <v>116.164415836334</v>
      </c>
      <c r="M3">
        <v>116.164415836334</v>
      </c>
      <c r="N3" s="1">
        <v>6.5647819977992798E-6</v>
      </c>
      <c r="O3" s="2">
        <v>46049.42864583333</v>
      </c>
      <c r="P3" s="2">
        <v>46049.430244953706</v>
      </c>
      <c r="Q3" s="3" t="s">
        <v>18</v>
      </c>
      <c r="R3" s="3" t="s">
        <v>19</v>
      </c>
      <c r="T3">
        <f t="shared" ref="T3:T66" si="0">H3-E3</f>
        <v>-115.37641574580799</v>
      </c>
    </row>
    <row r="4" spans="1:24" x14ac:dyDescent="0.3">
      <c r="A4">
        <v>3</v>
      </c>
      <c r="B4">
        <v>3</v>
      </c>
      <c r="C4">
        <v>1769509035</v>
      </c>
      <c r="D4">
        <v>1769509173.1644101</v>
      </c>
      <c r="E4">
        <v>138.16441574580799</v>
      </c>
      <c r="F4">
        <v>1769509035</v>
      </c>
      <c r="G4">
        <v>1769509050</v>
      </c>
      <c r="H4">
        <v>15.435</v>
      </c>
      <c r="I4">
        <v>122.729415745808</v>
      </c>
      <c r="J4">
        <v>122.729415745808</v>
      </c>
      <c r="K4">
        <v>159.804534606971</v>
      </c>
      <c r="L4">
        <v>123.164415836334</v>
      </c>
      <c r="M4">
        <v>123.164415836334</v>
      </c>
      <c r="N4" s="1">
        <v>6.9603719489303198E-6</v>
      </c>
      <c r="O4" s="2">
        <v>46049.42864583333</v>
      </c>
      <c r="P4" s="2">
        <v>46049.430244953706</v>
      </c>
      <c r="Q4" s="3" t="s">
        <v>18</v>
      </c>
      <c r="R4" s="3" t="s">
        <v>20</v>
      </c>
      <c r="T4">
        <f t="shared" si="0"/>
        <v>-122.72941574580798</v>
      </c>
    </row>
    <row r="5" spans="1:24" x14ac:dyDescent="0.3">
      <c r="A5">
        <v>4</v>
      </c>
      <c r="B5">
        <v>4</v>
      </c>
      <c r="C5">
        <v>1769509035</v>
      </c>
      <c r="D5">
        <v>1769509173.1644101</v>
      </c>
      <c r="E5">
        <v>138.16441574580799</v>
      </c>
      <c r="F5">
        <v>1769509037</v>
      </c>
      <c r="G5">
        <v>1769509057</v>
      </c>
      <c r="H5">
        <v>20.122</v>
      </c>
      <c r="I5">
        <v>118.042415745808</v>
      </c>
      <c r="J5">
        <v>118.042415745808</v>
      </c>
      <c r="K5">
        <v>149.15040585083699</v>
      </c>
      <c r="L5">
        <v>116.164415836334</v>
      </c>
      <c r="M5">
        <v>116.164415836334</v>
      </c>
      <c r="N5" s="1">
        <v>6.5647819977992798E-6</v>
      </c>
      <c r="O5" s="2">
        <v>46049.42864583333</v>
      </c>
      <c r="P5" s="2">
        <v>46049.430244953706</v>
      </c>
      <c r="Q5" s="3" t="s">
        <v>21</v>
      </c>
      <c r="R5" s="3" t="s">
        <v>19</v>
      </c>
      <c r="T5">
        <f t="shared" si="0"/>
        <v>-118.04241574580799</v>
      </c>
    </row>
    <row r="6" spans="1:24" x14ac:dyDescent="0.3">
      <c r="A6">
        <v>5</v>
      </c>
      <c r="B6">
        <v>5</v>
      </c>
      <c r="C6">
        <v>1769509035</v>
      </c>
      <c r="D6">
        <v>1769509173.1644101</v>
      </c>
      <c r="E6">
        <v>138.16441574580799</v>
      </c>
      <c r="F6">
        <v>1769509038</v>
      </c>
      <c r="G6">
        <v>1769509066</v>
      </c>
      <c r="H6">
        <v>28.341000000000001</v>
      </c>
      <c r="I6">
        <v>109.82341574580801</v>
      </c>
      <c r="J6">
        <v>109.82341574580801</v>
      </c>
      <c r="K6">
        <v>131.915728090752</v>
      </c>
      <c r="L6">
        <v>107.164415836334</v>
      </c>
      <c r="M6">
        <v>107.164415836334</v>
      </c>
      <c r="N6" s="1">
        <v>6.0561663486445498E-6</v>
      </c>
      <c r="O6" s="2">
        <v>46049.42864583333</v>
      </c>
      <c r="P6" s="2">
        <v>46049.430244953706</v>
      </c>
      <c r="Q6" s="3" t="s">
        <v>22</v>
      </c>
      <c r="R6" s="3" t="s">
        <v>23</v>
      </c>
      <c r="T6">
        <f t="shared" si="0"/>
        <v>-109.82341574580798</v>
      </c>
    </row>
    <row r="7" spans="1:24" x14ac:dyDescent="0.3">
      <c r="A7">
        <v>6</v>
      </c>
      <c r="B7">
        <v>1</v>
      </c>
      <c r="C7">
        <v>1769509173.1644101</v>
      </c>
      <c r="D7">
        <v>1769509311.32883</v>
      </c>
      <c r="E7">
        <v>138.16441574580799</v>
      </c>
      <c r="F7">
        <v>1769509049</v>
      </c>
      <c r="G7">
        <v>1769509070</v>
      </c>
      <c r="H7">
        <v>21.108000000000001</v>
      </c>
      <c r="I7">
        <v>117.056415745808</v>
      </c>
      <c r="J7">
        <v>117.056415745808</v>
      </c>
      <c r="K7">
        <v>146.98893740975799</v>
      </c>
      <c r="L7">
        <v>241.328831672668</v>
      </c>
      <c r="M7">
        <v>241.328831672668</v>
      </c>
      <c r="N7" s="1">
        <v>1.3638179046815399E-5</v>
      </c>
      <c r="O7" s="2">
        <v>46049.430244953706</v>
      </c>
      <c r="P7" s="2">
        <v>46049.431844085651</v>
      </c>
      <c r="Q7" s="3" t="s">
        <v>24</v>
      </c>
      <c r="R7" s="3" t="s">
        <v>25</v>
      </c>
      <c r="T7">
        <f t="shared" si="0"/>
        <v>-117.05641574580798</v>
      </c>
    </row>
    <row r="8" spans="1:24" x14ac:dyDescent="0.3">
      <c r="A8">
        <v>7</v>
      </c>
      <c r="B8">
        <v>2</v>
      </c>
      <c r="C8">
        <v>1769509173.1644101</v>
      </c>
      <c r="D8">
        <v>1769509311.32883</v>
      </c>
      <c r="E8">
        <v>138.16441574580799</v>
      </c>
      <c r="F8">
        <v>1769509057</v>
      </c>
      <c r="G8">
        <v>1769509168</v>
      </c>
      <c r="H8">
        <v>110.786</v>
      </c>
      <c r="I8">
        <v>27.3784157458084</v>
      </c>
      <c r="J8">
        <v>27.3784157458084</v>
      </c>
      <c r="K8">
        <v>21.9950753356148</v>
      </c>
      <c r="L8">
        <v>143.328831672668</v>
      </c>
      <c r="M8">
        <v>143.328831672668</v>
      </c>
      <c r="N8" s="1">
        <v>8.0999199359846497E-6</v>
      </c>
      <c r="O8" s="2">
        <v>46049.430244953706</v>
      </c>
      <c r="P8" s="2">
        <v>46049.431844085651</v>
      </c>
      <c r="Q8" s="3" t="s">
        <v>19</v>
      </c>
      <c r="R8" s="3" t="s">
        <v>26</v>
      </c>
      <c r="T8">
        <f t="shared" si="0"/>
        <v>-27.378415745807985</v>
      </c>
    </row>
    <row r="9" spans="1:24" x14ac:dyDescent="0.3">
      <c r="A9">
        <v>8</v>
      </c>
      <c r="B9">
        <v>3</v>
      </c>
      <c r="C9">
        <v>1769509173.1644101</v>
      </c>
      <c r="D9">
        <v>1769509311.32883</v>
      </c>
      <c r="E9">
        <v>138.16441574580799</v>
      </c>
      <c r="F9">
        <v>1769509057</v>
      </c>
      <c r="G9">
        <v>1769509087</v>
      </c>
      <c r="H9">
        <v>29.294</v>
      </c>
      <c r="I9">
        <v>108.870415745808</v>
      </c>
      <c r="J9">
        <v>108.870415745808</v>
      </c>
      <c r="K9">
        <v>130.026807265473</v>
      </c>
      <c r="L9">
        <v>224.328831672668</v>
      </c>
      <c r="M9">
        <v>224.328831672668</v>
      </c>
      <c r="N9" s="1">
        <v>1.2677460607641899E-5</v>
      </c>
      <c r="O9" s="2">
        <v>46049.430244953706</v>
      </c>
      <c r="P9" s="2">
        <v>46049.431844085651</v>
      </c>
      <c r="Q9" s="3" t="s">
        <v>19</v>
      </c>
      <c r="R9" s="3" t="s">
        <v>27</v>
      </c>
      <c r="T9">
        <f t="shared" si="0"/>
        <v>-108.87041574580799</v>
      </c>
    </row>
    <row r="10" spans="1:24" x14ac:dyDescent="0.3">
      <c r="A10">
        <v>9</v>
      </c>
      <c r="B10">
        <v>4</v>
      </c>
      <c r="C10">
        <v>1769509173.1644101</v>
      </c>
      <c r="D10">
        <v>1769509311.32883</v>
      </c>
      <c r="E10">
        <v>138.16441574580799</v>
      </c>
      <c r="F10">
        <v>1769509057</v>
      </c>
      <c r="G10">
        <v>1769509082</v>
      </c>
      <c r="H10">
        <v>25.224</v>
      </c>
      <c r="I10">
        <v>112.940415745808</v>
      </c>
      <c r="J10">
        <v>112.940415745808</v>
      </c>
      <c r="K10">
        <v>138.247764053867</v>
      </c>
      <c r="L10">
        <v>229.328831672668</v>
      </c>
      <c r="M10">
        <v>229.328831672668</v>
      </c>
      <c r="N10" s="1">
        <v>1.29600248534995E-5</v>
      </c>
      <c r="O10" s="2">
        <v>46049.430244953706</v>
      </c>
      <c r="P10" s="2">
        <v>46049.431844085651</v>
      </c>
      <c r="Q10" s="3" t="s">
        <v>19</v>
      </c>
      <c r="R10" s="3" t="s">
        <v>28</v>
      </c>
      <c r="T10">
        <f t="shared" si="0"/>
        <v>-112.94041574580798</v>
      </c>
    </row>
    <row r="11" spans="1:24" x14ac:dyDescent="0.3">
      <c r="A11">
        <v>10</v>
      </c>
      <c r="B11">
        <v>5</v>
      </c>
      <c r="C11">
        <v>1769509173.1644101</v>
      </c>
      <c r="D11">
        <v>1769509311.32883</v>
      </c>
      <c r="E11">
        <v>138.16441574580799</v>
      </c>
      <c r="F11">
        <v>1769509066</v>
      </c>
      <c r="G11">
        <v>1769509091</v>
      </c>
      <c r="H11">
        <v>24.843</v>
      </c>
      <c r="I11">
        <v>113.321415745808</v>
      </c>
      <c r="J11">
        <v>113.321415745808</v>
      </c>
      <c r="K11">
        <v>139.03835629480801</v>
      </c>
      <c r="L11">
        <v>220.328831672668</v>
      </c>
      <c r="M11">
        <v>220.328831672668</v>
      </c>
      <c r="N11" s="1">
        <v>1.24514092115306E-5</v>
      </c>
      <c r="O11" s="2">
        <v>46049.430244953706</v>
      </c>
      <c r="P11" s="2">
        <v>46049.431844085651</v>
      </c>
      <c r="Q11" s="3" t="s">
        <v>23</v>
      </c>
      <c r="R11" s="3" t="s">
        <v>29</v>
      </c>
      <c r="T11">
        <f t="shared" si="0"/>
        <v>-113.32141574580798</v>
      </c>
    </row>
    <row r="12" spans="1:24" x14ac:dyDescent="0.3">
      <c r="A12">
        <v>11</v>
      </c>
      <c r="B12">
        <v>1</v>
      </c>
      <c r="C12">
        <v>1769509311.32883</v>
      </c>
      <c r="D12">
        <v>1769509449.4932401</v>
      </c>
      <c r="E12">
        <v>138.16441574580799</v>
      </c>
      <c r="F12">
        <v>1769509268</v>
      </c>
      <c r="G12">
        <v>1769509290</v>
      </c>
      <c r="H12">
        <v>22.498000000000001</v>
      </c>
      <c r="I12">
        <v>115.666415745808</v>
      </c>
      <c r="J12">
        <v>115.666415745808</v>
      </c>
      <c r="K12">
        <v>143.986899747368</v>
      </c>
      <c r="L12">
        <v>159.493247509002</v>
      </c>
      <c r="M12">
        <v>159.493247509002</v>
      </c>
      <c r="N12" s="1">
        <v>9.0134163873820307E-6</v>
      </c>
      <c r="O12" s="2">
        <v>46049.431844085651</v>
      </c>
      <c r="P12" s="2">
        <v>46049.43344320602</v>
      </c>
      <c r="Q12" s="3" t="s">
        <v>30</v>
      </c>
      <c r="R12" s="3" t="s">
        <v>31</v>
      </c>
      <c r="T12">
        <f t="shared" si="0"/>
        <v>-115.66641574580798</v>
      </c>
    </row>
    <row r="13" spans="1:24" x14ac:dyDescent="0.3">
      <c r="A13">
        <v>12</v>
      </c>
      <c r="B13">
        <v>2</v>
      </c>
      <c r="C13">
        <v>1769509311.32883</v>
      </c>
      <c r="D13">
        <v>1769509449.4932401</v>
      </c>
      <c r="E13">
        <v>138.16441574580799</v>
      </c>
      <c r="F13">
        <v>1769509268</v>
      </c>
      <c r="G13">
        <v>1769509403</v>
      </c>
      <c r="H13">
        <v>135.38999999999999</v>
      </c>
      <c r="I13">
        <v>2.77441574580845</v>
      </c>
      <c r="J13">
        <v>2.77441574580845</v>
      </c>
      <c r="K13">
        <v>2.0284196387357798</v>
      </c>
      <c r="L13">
        <v>46.4932475090026</v>
      </c>
      <c r="M13">
        <v>46.4932475090026</v>
      </c>
      <c r="N13" s="1">
        <v>2.6274653765264899E-6</v>
      </c>
      <c r="O13" s="2">
        <v>46049.431844085651</v>
      </c>
      <c r="P13" s="2">
        <v>46049.43344320602</v>
      </c>
      <c r="Q13" s="3" t="s">
        <v>30</v>
      </c>
      <c r="R13" s="3" t="s">
        <v>32</v>
      </c>
      <c r="T13">
        <f t="shared" si="0"/>
        <v>-2.7744157458079997</v>
      </c>
    </row>
    <row r="14" spans="1:24" x14ac:dyDescent="0.3">
      <c r="A14">
        <v>13</v>
      </c>
      <c r="B14">
        <v>3</v>
      </c>
      <c r="C14">
        <v>1769509311.32883</v>
      </c>
      <c r="D14">
        <v>1769509449.4932401</v>
      </c>
      <c r="E14">
        <v>138.16441574580799</v>
      </c>
      <c r="F14">
        <v>1769509268</v>
      </c>
      <c r="G14">
        <v>1769509285</v>
      </c>
      <c r="H14">
        <v>16.712</v>
      </c>
      <c r="I14">
        <v>121.452415745808</v>
      </c>
      <c r="J14">
        <v>121.452415745808</v>
      </c>
      <c r="K14">
        <v>156.83784411067799</v>
      </c>
      <c r="L14">
        <v>164.493247509002</v>
      </c>
      <c r="M14">
        <v>164.493247509002</v>
      </c>
      <c r="N14" s="1">
        <v>9.2959806008235993E-6</v>
      </c>
      <c r="O14" s="2">
        <v>46049.431844085651</v>
      </c>
      <c r="P14" s="2">
        <v>46049.43344320602</v>
      </c>
      <c r="Q14" s="3" t="s">
        <v>30</v>
      </c>
      <c r="R14" s="3" t="s">
        <v>33</v>
      </c>
      <c r="T14">
        <f t="shared" si="0"/>
        <v>-121.45241574580798</v>
      </c>
    </row>
    <row r="15" spans="1:24" x14ac:dyDescent="0.3">
      <c r="A15">
        <v>14</v>
      </c>
      <c r="B15">
        <v>4</v>
      </c>
      <c r="C15">
        <v>1769509311.32883</v>
      </c>
      <c r="D15">
        <v>1769509449.4932401</v>
      </c>
      <c r="E15">
        <v>138.16441574580799</v>
      </c>
      <c r="F15">
        <v>1769509269</v>
      </c>
      <c r="G15">
        <v>1769509299</v>
      </c>
      <c r="H15">
        <v>29.536999999999999</v>
      </c>
      <c r="I15">
        <v>108.62741574580799</v>
      </c>
      <c r="J15">
        <v>108.62741574580799</v>
      </c>
      <c r="K15">
        <v>129.54859714536801</v>
      </c>
      <c r="L15">
        <v>150.493247509002</v>
      </c>
      <c r="M15">
        <v>150.493247509002</v>
      </c>
      <c r="N15" s="1">
        <v>8.5048008051992202E-6</v>
      </c>
      <c r="O15" s="2">
        <v>46049.431844085651</v>
      </c>
      <c r="P15" s="2">
        <v>46049.43344320602</v>
      </c>
      <c r="Q15" s="3" t="s">
        <v>34</v>
      </c>
      <c r="R15" s="3" t="s">
        <v>35</v>
      </c>
      <c r="T15">
        <f t="shared" si="0"/>
        <v>-108.62741574580798</v>
      </c>
    </row>
    <row r="16" spans="1:24" x14ac:dyDescent="0.3">
      <c r="A16">
        <v>15</v>
      </c>
      <c r="B16">
        <v>5</v>
      </c>
      <c r="C16">
        <v>1769509311.32883</v>
      </c>
      <c r="D16">
        <v>1769509449.4932401</v>
      </c>
      <c r="E16">
        <v>138.16441574580799</v>
      </c>
      <c r="F16">
        <v>1769509269</v>
      </c>
      <c r="G16">
        <v>1769509294</v>
      </c>
      <c r="H16">
        <v>24.538</v>
      </c>
      <c r="I16">
        <v>113.626415745808</v>
      </c>
      <c r="J16">
        <v>113.626415745808</v>
      </c>
      <c r="K16">
        <v>139.673913537126</v>
      </c>
      <c r="L16">
        <v>155.493247509002</v>
      </c>
      <c r="M16">
        <v>155.493247509002</v>
      </c>
      <c r="N16" s="1">
        <v>8.7873650172036297E-6</v>
      </c>
      <c r="O16" s="2">
        <v>46049.431844085651</v>
      </c>
      <c r="P16" s="2">
        <v>46049.43344320602</v>
      </c>
      <c r="Q16" s="3" t="s">
        <v>34</v>
      </c>
      <c r="R16" s="3" t="s">
        <v>36</v>
      </c>
      <c r="T16">
        <f t="shared" si="0"/>
        <v>-113.62641574580799</v>
      </c>
    </row>
    <row r="17" spans="1:20" x14ac:dyDescent="0.3">
      <c r="A17">
        <v>16</v>
      </c>
      <c r="B17">
        <v>1</v>
      </c>
      <c r="C17">
        <v>1769509449.4932401</v>
      </c>
      <c r="D17">
        <v>1769509587.65766</v>
      </c>
      <c r="E17">
        <v>138.16441574580799</v>
      </c>
      <c r="F17">
        <v>1769509284</v>
      </c>
      <c r="G17">
        <v>1769509308</v>
      </c>
      <c r="H17">
        <v>24.097999999999999</v>
      </c>
      <c r="I17">
        <v>114.066415745808</v>
      </c>
      <c r="J17">
        <v>114.066415745808</v>
      </c>
      <c r="K17">
        <v>140.59499265005201</v>
      </c>
      <c r="L17">
        <v>279.657663345336</v>
      </c>
      <c r="M17">
        <v>279.657663345336</v>
      </c>
      <c r="N17" s="1">
        <v>1.5804248103251E-5</v>
      </c>
      <c r="O17" s="2">
        <v>46049.43344320602</v>
      </c>
      <c r="P17" s="2">
        <v>46049.435042337966</v>
      </c>
      <c r="Q17" s="3" t="s">
        <v>37</v>
      </c>
      <c r="R17" s="3" t="s">
        <v>38</v>
      </c>
      <c r="T17">
        <f t="shared" si="0"/>
        <v>-114.06641574580799</v>
      </c>
    </row>
    <row r="18" spans="1:20" x14ac:dyDescent="0.3">
      <c r="A18">
        <v>17</v>
      </c>
      <c r="B18">
        <v>2</v>
      </c>
      <c r="C18">
        <v>1769509449.4932401</v>
      </c>
      <c r="D18">
        <v>1769509587.65766</v>
      </c>
      <c r="E18">
        <v>138.16441574580799</v>
      </c>
      <c r="F18">
        <v>1769509290</v>
      </c>
      <c r="G18">
        <v>1769509312</v>
      </c>
      <c r="H18">
        <v>22.446000000000002</v>
      </c>
      <c r="I18">
        <v>115.718415745808</v>
      </c>
      <c r="J18">
        <v>115.718415745808</v>
      </c>
      <c r="K18">
        <v>144.09827059902599</v>
      </c>
      <c r="L18">
        <v>275.657663345336</v>
      </c>
      <c r="M18">
        <v>275.657663345336</v>
      </c>
      <c r="N18" s="1">
        <v>1.5578196735372099E-5</v>
      </c>
      <c r="O18" s="2">
        <v>46049.43344320602</v>
      </c>
      <c r="P18" s="2">
        <v>46049.435042337966</v>
      </c>
      <c r="Q18" s="3" t="s">
        <v>31</v>
      </c>
      <c r="R18" s="3" t="s">
        <v>39</v>
      </c>
      <c r="T18">
        <f t="shared" si="0"/>
        <v>-115.71841574580799</v>
      </c>
    </row>
    <row r="19" spans="1:20" x14ac:dyDescent="0.3">
      <c r="A19">
        <v>18</v>
      </c>
      <c r="B19">
        <v>3</v>
      </c>
      <c r="C19">
        <v>1769509449.4932401</v>
      </c>
      <c r="D19">
        <v>1769509587.65766</v>
      </c>
      <c r="E19">
        <v>138.16441574580799</v>
      </c>
      <c r="F19">
        <v>1769509294</v>
      </c>
      <c r="G19">
        <v>1769509315</v>
      </c>
      <c r="H19">
        <v>21.004000000000001</v>
      </c>
      <c r="I19">
        <v>117.160415745808</v>
      </c>
      <c r="J19">
        <v>117.160415745808</v>
      </c>
      <c r="K19">
        <v>147.21565858004499</v>
      </c>
      <c r="L19">
        <v>272.657663345336</v>
      </c>
      <c r="M19">
        <v>272.657663345336</v>
      </c>
      <c r="N19" s="1">
        <v>1.54086582097983E-5</v>
      </c>
      <c r="O19" s="2">
        <v>46049.43344320602</v>
      </c>
      <c r="P19" s="2">
        <v>46049.435042337966</v>
      </c>
      <c r="Q19" s="3" t="s">
        <v>36</v>
      </c>
      <c r="R19" s="3" t="s">
        <v>40</v>
      </c>
      <c r="T19">
        <f t="shared" si="0"/>
        <v>-117.16041574580798</v>
      </c>
    </row>
    <row r="20" spans="1:20" x14ac:dyDescent="0.3">
      <c r="A20">
        <v>19</v>
      </c>
      <c r="B20">
        <v>4</v>
      </c>
      <c r="C20">
        <v>1769509449.4932401</v>
      </c>
      <c r="D20">
        <v>1769509587.65766</v>
      </c>
      <c r="E20">
        <v>138.16441574580799</v>
      </c>
      <c r="F20">
        <v>1769509299</v>
      </c>
      <c r="G20">
        <v>1769509329</v>
      </c>
      <c r="H20">
        <v>30.536999999999999</v>
      </c>
      <c r="I20">
        <v>107.62741574580799</v>
      </c>
      <c r="J20">
        <v>107.62741574580799</v>
      </c>
      <c r="K20">
        <v>127.59515416038499</v>
      </c>
      <c r="L20">
        <v>258.657663345336</v>
      </c>
      <c r="M20">
        <v>258.657663345336</v>
      </c>
      <c r="N20" s="1">
        <v>1.46174784275874E-5</v>
      </c>
      <c r="O20" s="2">
        <v>46049.43344320602</v>
      </c>
      <c r="P20" s="2">
        <v>46049.435042337966</v>
      </c>
      <c r="Q20" s="3" t="s">
        <v>35</v>
      </c>
      <c r="R20" s="3" t="s">
        <v>41</v>
      </c>
      <c r="T20">
        <f t="shared" si="0"/>
        <v>-107.62741574580798</v>
      </c>
    </row>
    <row r="21" spans="1:20" x14ac:dyDescent="0.3">
      <c r="A21">
        <v>20</v>
      </c>
      <c r="B21">
        <v>5</v>
      </c>
      <c r="C21">
        <v>1769509449.4932401</v>
      </c>
      <c r="D21">
        <v>1769509587.65766</v>
      </c>
      <c r="E21">
        <v>138.16441574580799</v>
      </c>
      <c r="F21">
        <v>1769509308</v>
      </c>
      <c r="G21">
        <v>1769509335</v>
      </c>
      <c r="H21">
        <v>27.657</v>
      </c>
      <c r="I21">
        <v>110.507415745808</v>
      </c>
      <c r="J21">
        <v>110.507415745808</v>
      </c>
      <c r="K21">
        <v>133.284853767269</v>
      </c>
      <c r="L21">
        <v>252.657663345336</v>
      </c>
      <c r="M21">
        <v>252.657663345336</v>
      </c>
      <c r="N21" s="1">
        <v>1.4278401379984701E-5</v>
      </c>
      <c r="O21" s="2">
        <v>46049.43344320602</v>
      </c>
      <c r="P21" s="2">
        <v>46049.435042337966</v>
      </c>
      <c r="Q21" s="3" t="s">
        <v>38</v>
      </c>
      <c r="R21" s="3" t="s">
        <v>42</v>
      </c>
      <c r="T21">
        <f t="shared" si="0"/>
        <v>-110.50741574580799</v>
      </c>
    </row>
    <row r="22" spans="1:20" x14ac:dyDescent="0.3">
      <c r="A22">
        <v>21</v>
      </c>
      <c r="B22">
        <v>1</v>
      </c>
      <c r="C22">
        <v>1769509587.65766</v>
      </c>
      <c r="D22">
        <v>1769509648.1454501</v>
      </c>
      <c r="E22">
        <v>60.487787211572098</v>
      </c>
      <c r="F22">
        <v>1769509495</v>
      </c>
      <c r="G22">
        <v>1769509558</v>
      </c>
      <c r="H22">
        <v>63.561</v>
      </c>
      <c r="I22">
        <v>-3.0732127884278602</v>
      </c>
      <c r="J22">
        <v>3.0732127884278602</v>
      </c>
      <c r="K22">
        <v>4.9548453596508404</v>
      </c>
      <c r="L22">
        <v>90.145450592041001</v>
      </c>
      <c r="M22">
        <v>90.145450592041001</v>
      </c>
      <c r="N22" s="1">
        <v>5.0943747598489899E-6</v>
      </c>
      <c r="O22" s="2">
        <v>46049.435042337966</v>
      </c>
      <c r="P22" s="2">
        <v>46049.43574241898</v>
      </c>
      <c r="Q22" s="3" t="s">
        <v>43</v>
      </c>
      <c r="R22" s="3" t="s">
        <v>44</v>
      </c>
      <c r="T22">
        <f t="shared" si="0"/>
        <v>3.0732127884279024</v>
      </c>
    </row>
    <row r="23" spans="1:20" x14ac:dyDescent="0.3">
      <c r="A23">
        <v>22</v>
      </c>
      <c r="B23">
        <v>2</v>
      </c>
      <c r="C23">
        <v>1769509587.65766</v>
      </c>
      <c r="D23">
        <v>1769509648.3724999</v>
      </c>
      <c r="E23">
        <v>60.7148389896794</v>
      </c>
      <c r="F23">
        <v>1769509495</v>
      </c>
      <c r="G23">
        <v>1769509563</v>
      </c>
      <c r="H23">
        <v>67.817999999999998</v>
      </c>
      <c r="I23">
        <v>-7.1031610103205303</v>
      </c>
      <c r="J23">
        <v>7.1031610103205303</v>
      </c>
      <c r="K23">
        <v>11.0526789358334</v>
      </c>
      <c r="L23">
        <v>85.372502326965304</v>
      </c>
      <c r="M23">
        <v>85.372502326965304</v>
      </c>
      <c r="N23" s="1">
        <v>4.8246419263633299E-6</v>
      </c>
      <c r="O23" s="2">
        <v>46049.435042337966</v>
      </c>
      <c r="P23" s="2">
        <v>46049.435745057868</v>
      </c>
      <c r="Q23" s="3" t="s">
        <v>43</v>
      </c>
      <c r="R23" s="3" t="s">
        <v>45</v>
      </c>
      <c r="T23">
        <f t="shared" si="0"/>
        <v>7.1031610103205978</v>
      </c>
    </row>
    <row r="24" spans="1:20" x14ac:dyDescent="0.3">
      <c r="A24">
        <v>23</v>
      </c>
      <c r="B24">
        <v>3</v>
      </c>
      <c r="C24">
        <v>1769509587.65766</v>
      </c>
      <c r="D24">
        <v>1769509648.9382801</v>
      </c>
      <c r="E24">
        <v>61.280618444088802</v>
      </c>
      <c r="F24">
        <v>1769509495</v>
      </c>
      <c r="G24">
        <v>1769509566</v>
      </c>
      <c r="H24">
        <v>70.855999999999995</v>
      </c>
      <c r="I24">
        <v>-9.5753815559111004</v>
      </c>
      <c r="J24">
        <v>9.5753815559111004</v>
      </c>
      <c r="K24">
        <v>14.493153629419901</v>
      </c>
      <c r="L24">
        <v>82.938281774520803</v>
      </c>
      <c r="M24">
        <v>82.938281774520803</v>
      </c>
      <c r="N24" s="1">
        <v>4.6870772232281996E-6</v>
      </c>
      <c r="O24" s="2">
        <v>46049.435042337966</v>
      </c>
      <c r="P24" s="2">
        <v>46049.435751597222</v>
      </c>
      <c r="Q24" s="3" t="s">
        <v>43</v>
      </c>
      <c r="R24" s="3" t="s">
        <v>46</v>
      </c>
      <c r="T24">
        <f t="shared" si="0"/>
        <v>9.5753815559111928</v>
      </c>
    </row>
    <row r="25" spans="1:20" x14ac:dyDescent="0.3">
      <c r="A25">
        <v>24</v>
      </c>
      <c r="B25">
        <v>4</v>
      </c>
      <c r="C25">
        <v>1769509587.65766</v>
      </c>
      <c r="D25">
        <v>1769509647.2422199</v>
      </c>
      <c r="E25">
        <v>59.584563087376502</v>
      </c>
      <c r="F25">
        <v>1769509496</v>
      </c>
      <c r="G25">
        <v>1769509554</v>
      </c>
      <c r="H25">
        <v>57.874000000000002</v>
      </c>
      <c r="I25">
        <v>1.7105630873765001</v>
      </c>
      <c r="J25">
        <v>1.7105630873765001</v>
      </c>
      <c r="K25">
        <v>2.9126238946138501</v>
      </c>
      <c r="L25">
        <v>93.242226362228394</v>
      </c>
      <c r="M25">
        <v>93.242226362228394</v>
      </c>
      <c r="N25" s="1">
        <v>5.2693823378804803E-6</v>
      </c>
      <c r="O25" s="2">
        <v>46049.435042337966</v>
      </c>
      <c r="P25" s="2">
        <v>46049.435731967591</v>
      </c>
      <c r="Q25" s="3" t="s">
        <v>47</v>
      </c>
      <c r="R25" s="3" t="s">
        <v>48</v>
      </c>
      <c r="T25">
        <f t="shared" si="0"/>
        <v>-1.7105630873764994</v>
      </c>
    </row>
    <row r="26" spans="1:20" x14ac:dyDescent="0.3">
      <c r="A26">
        <v>25</v>
      </c>
      <c r="B26">
        <v>5</v>
      </c>
      <c r="C26">
        <v>1769509587.65766</v>
      </c>
      <c r="D26">
        <v>1769509647.5932701</v>
      </c>
      <c r="E26">
        <v>59.9356077127226</v>
      </c>
      <c r="F26">
        <v>1769509497</v>
      </c>
      <c r="G26">
        <v>1769509558</v>
      </c>
      <c r="H26">
        <v>61.195</v>
      </c>
      <c r="I26">
        <v>-1.2593922872773999</v>
      </c>
      <c r="J26">
        <v>1.2593922872773999</v>
      </c>
      <c r="K26">
        <v>2.07939563923301</v>
      </c>
      <c r="L26">
        <v>89.5932710170745</v>
      </c>
      <c r="M26">
        <v>89.5932710170745</v>
      </c>
      <c r="N26" s="1">
        <v>5.0631695287483101E-6</v>
      </c>
      <c r="O26" s="2">
        <v>46049.435042337966</v>
      </c>
      <c r="P26" s="2">
        <v>46049.435736030093</v>
      </c>
      <c r="Q26" s="3" t="s">
        <v>49</v>
      </c>
      <c r="R26" s="3" t="s">
        <v>44</v>
      </c>
      <c r="T26">
        <f t="shared" si="0"/>
        <v>1.2593922872774002</v>
      </c>
    </row>
    <row r="27" spans="1:20" x14ac:dyDescent="0.3">
      <c r="A27">
        <v>26</v>
      </c>
      <c r="B27">
        <v>4</v>
      </c>
      <c r="C27">
        <v>1769509647.2422199</v>
      </c>
      <c r="D27">
        <v>1769509707.7314601</v>
      </c>
      <c r="E27">
        <v>60.489237427118098</v>
      </c>
      <c r="F27">
        <v>1769509554</v>
      </c>
      <c r="G27">
        <v>1769509610</v>
      </c>
      <c r="H27">
        <v>56.151000000000003</v>
      </c>
      <c r="I27">
        <v>4.3382374271181501</v>
      </c>
      <c r="J27">
        <v>4.3382374271181501</v>
      </c>
      <c r="K27">
        <v>7.4386635741012999</v>
      </c>
      <c r="L27">
        <v>97.731463670730506</v>
      </c>
      <c r="M27">
        <v>97.731463670730506</v>
      </c>
      <c r="N27" s="1">
        <v>5.5230816729973103E-6</v>
      </c>
      <c r="O27" s="2">
        <v>46049.435731967591</v>
      </c>
      <c r="P27" s="2">
        <v>46049.436432071758</v>
      </c>
      <c r="Q27" s="3" t="s">
        <v>48</v>
      </c>
      <c r="R27" s="3" t="s">
        <v>50</v>
      </c>
      <c r="T27">
        <f t="shared" si="0"/>
        <v>-4.338237427118095</v>
      </c>
    </row>
    <row r="28" spans="1:20" x14ac:dyDescent="0.3">
      <c r="A28">
        <v>27</v>
      </c>
      <c r="B28">
        <v>5</v>
      </c>
      <c r="C28">
        <v>1769509647.5932701</v>
      </c>
      <c r="D28">
        <v>1769509707.1744499</v>
      </c>
      <c r="E28">
        <v>59.581183401732197</v>
      </c>
      <c r="F28">
        <v>1769509558</v>
      </c>
      <c r="G28">
        <v>1769509616</v>
      </c>
      <c r="H28">
        <v>57.597000000000001</v>
      </c>
      <c r="I28">
        <v>1.98418340173221</v>
      </c>
      <c r="J28">
        <v>1.98418340173221</v>
      </c>
      <c r="K28">
        <v>3.38660891324737</v>
      </c>
      <c r="L28">
        <v>91.1744544506073</v>
      </c>
      <c r="M28">
        <v>91.1744544506073</v>
      </c>
      <c r="N28" s="1">
        <v>5.1525265122782603E-6</v>
      </c>
      <c r="O28" s="2">
        <v>46049.435736030093</v>
      </c>
      <c r="P28" s="2">
        <v>46049.436425624997</v>
      </c>
      <c r="Q28" s="3" t="s">
        <v>44</v>
      </c>
      <c r="R28" s="3" t="s">
        <v>51</v>
      </c>
      <c r="T28">
        <f t="shared" si="0"/>
        <v>-1.9841834017321958</v>
      </c>
    </row>
    <row r="29" spans="1:20" x14ac:dyDescent="0.3">
      <c r="A29">
        <v>28</v>
      </c>
      <c r="B29">
        <v>1</v>
      </c>
      <c r="C29">
        <v>1769509648.1454501</v>
      </c>
      <c r="D29">
        <v>1769509708.1861899</v>
      </c>
      <c r="E29">
        <v>60.040747760002198</v>
      </c>
      <c r="F29">
        <v>1769509558</v>
      </c>
      <c r="G29">
        <v>1769509619</v>
      </c>
      <c r="H29">
        <v>61.561</v>
      </c>
      <c r="I29">
        <v>-1.5202522399978</v>
      </c>
      <c r="J29">
        <v>1.5202522399978</v>
      </c>
      <c r="K29">
        <v>2.50037893040522</v>
      </c>
      <c r="L29">
        <v>89.186198234558105</v>
      </c>
      <c r="M29">
        <v>89.186198234558105</v>
      </c>
      <c r="N29" s="1">
        <v>5.0401645195573504E-6</v>
      </c>
      <c r="O29" s="2">
        <v>46049.43574241898</v>
      </c>
      <c r="P29" s="2">
        <v>46049.436437337965</v>
      </c>
      <c r="Q29" s="3" t="s">
        <v>44</v>
      </c>
      <c r="R29" s="3" t="s">
        <v>52</v>
      </c>
      <c r="T29">
        <f t="shared" si="0"/>
        <v>1.5202522399978022</v>
      </c>
    </row>
    <row r="30" spans="1:20" x14ac:dyDescent="0.3">
      <c r="A30">
        <v>29</v>
      </c>
      <c r="B30">
        <v>2</v>
      </c>
      <c r="C30">
        <v>1769509648.3724999</v>
      </c>
      <c r="D30">
        <v>1769509710.5908599</v>
      </c>
      <c r="E30">
        <v>62.218360455795903</v>
      </c>
      <c r="F30">
        <v>1769509563</v>
      </c>
      <c r="G30">
        <v>1769509623</v>
      </c>
      <c r="H30">
        <v>59.945</v>
      </c>
      <c r="I30">
        <v>2.2733604557959</v>
      </c>
      <c r="J30">
        <v>2.2733604557959</v>
      </c>
      <c r="K30">
        <v>3.72183680493711</v>
      </c>
      <c r="L30">
        <v>87.590862751006995</v>
      </c>
      <c r="M30">
        <v>87.590862751006995</v>
      </c>
      <c r="N30" s="1">
        <v>4.9500075865442096E-6</v>
      </c>
      <c r="O30" s="2">
        <v>46049.435745057868</v>
      </c>
      <c r="P30" s="2">
        <v>46049.43646517361</v>
      </c>
      <c r="Q30" s="3" t="s">
        <v>45</v>
      </c>
      <c r="R30" s="3" t="s">
        <v>53</v>
      </c>
      <c r="T30">
        <f t="shared" si="0"/>
        <v>-2.2733604557959026</v>
      </c>
    </row>
    <row r="31" spans="1:20" x14ac:dyDescent="0.3">
      <c r="A31">
        <v>30</v>
      </c>
      <c r="B31">
        <v>3</v>
      </c>
      <c r="C31">
        <v>1769509648.9382801</v>
      </c>
      <c r="D31">
        <v>1769509710.02121</v>
      </c>
      <c r="E31">
        <v>61.082931812984697</v>
      </c>
      <c r="F31">
        <v>1769509566</v>
      </c>
      <c r="G31">
        <v>1769509623</v>
      </c>
      <c r="H31">
        <v>57.597000000000001</v>
      </c>
      <c r="I31">
        <v>3.4859318129847798</v>
      </c>
      <c r="J31">
        <v>3.4859318129847798</v>
      </c>
      <c r="K31">
        <v>5.8745092952663498</v>
      </c>
      <c r="L31">
        <v>87.021213531494098</v>
      </c>
      <c r="M31">
        <v>87.021213531494098</v>
      </c>
      <c r="N31" s="1">
        <v>4.9178150975064196E-6</v>
      </c>
      <c r="O31" s="2">
        <v>46049.435751597222</v>
      </c>
      <c r="P31" s="2">
        <v>46049.436458576391</v>
      </c>
      <c r="Q31" s="3" t="s">
        <v>46</v>
      </c>
      <c r="R31" s="3" t="s">
        <v>53</v>
      </c>
      <c r="T31">
        <f t="shared" si="0"/>
        <v>-3.4859318129846955</v>
      </c>
    </row>
    <row r="32" spans="1:20" x14ac:dyDescent="0.3">
      <c r="A32">
        <v>31</v>
      </c>
      <c r="B32">
        <v>5</v>
      </c>
      <c r="C32">
        <v>1769509707.1744499</v>
      </c>
      <c r="D32">
        <v>1769509764.4358101</v>
      </c>
      <c r="E32">
        <v>57.261357137951997</v>
      </c>
      <c r="F32">
        <v>1769509610</v>
      </c>
      <c r="G32">
        <v>1769509668</v>
      </c>
      <c r="H32">
        <v>57.92</v>
      </c>
      <c r="I32">
        <v>-0.65864286204796196</v>
      </c>
      <c r="J32">
        <v>0.65864286204796196</v>
      </c>
      <c r="K32">
        <v>1.1436622703778501</v>
      </c>
      <c r="L32">
        <v>96.435811519622803</v>
      </c>
      <c r="M32">
        <v>96.435811519622803</v>
      </c>
      <c r="N32" s="1">
        <v>5.4498605255325499E-6</v>
      </c>
      <c r="O32" s="2">
        <v>46049.436425624997</v>
      </c>
      <c r="P32" s="2">
        <v>46049.437088379629</v>
      </c>
      <c r="Q32" s="3" t="s">
        <v>50</v>
      </c>
      <c r="R32" s="3" t="s">
        <v>54</v>
      </c>
      <c r="T32">
        <f t="shared" si="0"/>
        <v>0.65864286204800493</v>
      </c>
    </row>
    <row r="33" spans="1:20" x14ac:dyDescent="0.3">
      <c r="A33">
        <v>32</v>
      </c>
      <c r="B33">
        <v>4</v>
      </c>
      <c r="C33">
        <v>1769509707.7314601</v>
      </c>
      <c r="D33">
        <v>1769509770.3626699</v>
      </c>
      <c r="E33">
        <v>62.631215030831299</v>
      </c>
      <c r="F33">
        <v>1769509616</v>
      </c>
      <c r="G33">
        <v>1769509675</v>
      </c>
      <c r="H33">
        <v>59.2</v>
      </c>
      <c r="I33">
        <v>3.43121503083136</v>
      </c>
      <c r="J33">
        <v>3.43121503083136</v>
      </c>
      <c r="K33">
        <v>5.6327354692523297</v>
      </c>
      <c r="L33">
        <v>95.362678766250596</v>
      </c>
      <c r="M33">
        <v>95.362678766250596</v>
      </c>
      <c r="N33" s="1">
        <v>5.3892147380658296E-6</v>
      </c>
      <c r="O33" s="2">
        <v>46049.436432071758</v>
      </c>
      <c r="P33" s="2">
        <v>46049.437156979169</v>
      </c>
      <c r="Q33" s="3" t="s">
        <v>51</v>
      </c>
      <c r="R33" s="3" t="s">
        <v>55</v>
      </c>
      <c r="T33">
        <f t="shared" si="0"/>
        <v>-3.4312150308312965</v>
      </c>
    </row>
    <row r="34" spans="1:20" x14ac:dyDescent="0.3">
      <c r="A34">
        <v>33</v>
      </c>
      <c r="B34">
        <v>1</v>
      </c>
      <c r="C34">
        <v>1769509708.1861899</v>
      </c>
      <c r="D34">
        <v>1769509769.7662499</v>
      </c>
      <c r="E34">
        <v>61.580054364500199</v>
      </c>
      <c r="F34">
        <v>1769509619</v>
      </c>
      <c r="G34">
        <v>1769509677</v>
      </c>
      <c r="H34">
        <v>58.26</v>
      </c>
      <c r="I34">
        <v>3.32005436450028</v>
      </c>
      <c r="J34">
        <v>3.32005436450028</v>
      </c>
      <c r="K34">
        <v>5.5408091762077296</v>
      </c>
      <c r="L34">
        <v>92.766252517700195</v>
      </c>
      <c r="M34">
        <v>92.766252517700195</v>
      </c>
      <c r="N34" s="1">
        <v>5.2424833439366596E-6</v>
      </c>
      <c r="O34" s="2">
        <v>46049.436437337965</v>
      </c>
      <c r="P34" s="2">
        <v>46049.437150069447</v>
      </c>
      <c r="Q34" s="3" t="s">
        <v>52</v>
      </c>
      <c r="R34" s="3" t="s">
        <v>56</v>
      </c>
      <c r="T34">
        <f t="shared" si="0"/>
        <v>-3.3200543645002014</v>
      </c>
    </row>
    <row r="35" spans="1:20" x14ac:dyDescent="0.3">
      <c r="A35">
        <v>34</v>
      </c>
      <c r="B35">
        <v>3</v>
      </c>
      <c r="C35">
        <v>1769509710.02121</v>
      </c>
      <c r="D35">
        <v>1769509770.4472899</v>
      </c>
      <c r="E35">
        <v>60.426083633595603</v>
      </c>
      <c r="F35">
        <v>1769509623</v>
      </c>
      <c r="G35">
        <v>1769509686</v>
      </c>
      <c r="H35">
        <v>62.625</v>
      </c>
      <c r="I35">
        <v>-2.1989163664043101</v>
      </c>
      <c r="J35">
        <v>2.1989163664043101</v>
      </c>
      <c r="K35">
        <v>3.5739894383245598</v>
      </c>
      <c r="L35">
        <v>84.447297096252399</v>
      </c>
      <c r="M35">
        <v>84.447297096252399</v>
      </c>
      <c r="N35" s="1">
        <v>4.7723556276249599E-6</v>
      </c>
      <c r="O35" s="2">
        <v>46049.436458576391</v>
      </c>
      <c r="P35" s="2">
        <v>46049.43715795139</v>
      </c>
      <c r="Q35" s="3" t="s">
        <v>53</v>
      </c>
      <c r="R35" s="3" t="s">
        <v>57</v>
      </c>
      <c r="T35">
        <f t="shared" si="0"/>
        <v>2.1989163664043971</v>
      </c>
    </row>
    <row r="36" spans="1:20" x14ac:dyDescent="0.3">
      <c r="A36">
        <v>35</v>
      </c>
      <c r="B36">
        <v>2</v>
      </c>
      <c r="C36">
        <v>1769509710.5908599</v>
      </c>
      <c r="D36">
        <v>1769509770.8622401</v>
      </c>
      <c r="E36">
        <v>60.271386457363</v>
      </c>
      <c r="F36">
        <v>1769509623</v>
      </c>
      <c r="G36">
        <v>1769509678</v>
      </c>
      <c r="H36">
        <v>54.713999999999999</v>
      </c>
      <c r="I36">
        <v>5.5573864573630898</v>
      </c>
      <c r="J36">
        <v>5.5573864573630898</v>
      </c>
      <c r="K36">
        <v>9.6662482574231898</v>
      </c>
      <c r="L36">
        <v>92.862249135970998</v>
      </c>
      <c r="M36">
        <v>92.862249135970998</v>
      </c>
      <c r="N36" s="1">
        <v>5.2479083812791702E-6</v>
      </c>
      <c r="O36" s="2">
        <v>46049.43646517361</v>
      </c>
      <c r="P36" s="2">
        <v>46049.437162754628</v>
      </c>
      <c r="Q36" s="3" t="s">
        <v>53</v>
      </c>
      <c r="R36" s="3" t="s">
        <v>58</v>
      </c>
      <c r="T36">
        <f t="shared" si="0"/>
        <v>-5.5573864573630019</v>
      </c>
    </row>
    <row r="37" spans="1:20" x14ac:dyDescent="0.3">
      <c r="A37">
        <v>36</v>
      </c>
      <c r="B37">
        <v>5</v>
      </c>
      <c r="C37">
        <v>1769509764.4358101</v>
      </c>
      <c r="D37">
        <v>1769509822.211</v>
      </c>
      <c r="E37">
        <v>57.775196602033901</v>
      </c>
      <c r="F37">
        <v>1769509668</v>
      </c>
      <c r="G37">
        <v>1769509728</v>
      </c>
      <c r="H37">
        <v>60.274999999999999</v>
      </c>
      <c r="I37">
        <v>-2.4998033979660401</v>
      </c>
      <c r="J37">
        <v>2.4998033979660401</v>
      </c>
      <c r="K37">
        <v>4.2351532990551197</v>
      </c>
      <c r="L37">
        <v>94.2110080718994</v>
      </c>
      <c r="M37">
        <v>94.2110080718994</v>
      </c>
      <c r="N37" s="1">
        <v>5.3241304115588798E-6</v>
      </c>
      <c r="O37" s="2">
        <v>46049.437088379629</v>
      </c>
      <c r="P37" s="2">
        <v>46049.437757071762</v>
      </c>
      <c r="Q37" s="3" t="s">
        <v>54</v>
      </c>
      <c r="R37" s="3" t="s">
        <v>59</v>
      </c>
      <c r="T37">
        <f t="shared" si="0"/>
        <v>2.4998033979660974</v>
      </c>
    </row>
    <row r="38" spans="1:20" x14ac:dyDescent="0.3">
      <c r="A38">
        <v>37</v>
      </c>
      <c r="B38">
        <v>1</v>
      </c>
      <c r="C38">
        <v>1769509769.7662499</v>
      </c>
      <c r="D38">
        <v>1769509830.7658501</v>
      </c>
      <c r="E38">
        <v>60.999603028493802</v>
      </c>
      <c r="F38">
        <v>1769509675</v>
      </c>
      <c r="G38">
        <v>1769509737</v>
      </c>
      <c r="H38">
        <v>61.646000000000001</v>
      </c>
      <c r="I38">
        <v>-0.64639697150614905</v>
      </c>
      <c r="J38">
        <v>0.64639697150614905</v>
      </c>
      <c r="K38">
        <v>1.0540891080391499</v>
      </c>
      <c r="L38">
        <v>93.765855550765906</v>
      </c>
      <c r="M38">
        <v>93.765855550765906</v>
      </c>
      <c r="N38" s="1">
        <v>5.2989735578070997E-6</v>
      </c>
      <c r="O38" s="2">
        <v>46049.437150069447</v>
      </c>
      <c r="P38" s="2">
        <v>46049.437856087963</v>
      </c>
      <c r="Q38" s="3" t="s">
        <v>55</v>
      </c>
      <c r="R38" s="3" t="s">
        <v>60</v>
      </c>
      <c r="T38">
        <f t="shared" si="0"/>
        <v>0.64639697150619924</v>
      </c>
    </row>
    <row r="39" spans="1:20" x14ac:dyDescent="0.3">
      <c r="A39">
        <v>38</v>
      </c>
      <c r="B39">
        <v>4</v>
      </c>
      <c r="C39">
        <v>1769509770.3626699</v>
      </c>
      <c r="D39">
        <v>1769509830.9902999</v>
      </c>
      <c r="E39">
        <v>60.627628089438801</v>
      </c>
      <c r="F39">
        <v>1769509677</v>
      </c>
      <c r="G39">
        <v>1769509737</v>
      </c>
      <c r="H39">
        <v>59.323</v>
      </c>
      <c r="I39">
        <v>1.30462808943889</v>
      </c>
      <c r="J39">
        <v>1.30462808943889</v>
      </c>
      <c r="K39">
        <v>2.1752751281404201</v>
      </c>
      <c r="L39">
        <v>93.990306854248004</v>
      </c>
      <c r="M39">
        <v>93.990306854248004</v>
      </c>
      <c r="N39" s="1">
        <v>5.3116579351168701E-6</v>
      </c>
      <c r="O39" s="2">
        <v>46049.437156979169</v>
      </c>
      <c r="P39" s="2">
        <v>46049.437858680554</v>
      </c>
      <c r="Q39" s="3" t="s">
        <v>56</v>
      </c>
      <c r="R39" s="3" t="s">
        <v>60</v>
      </c>
      <c r="T39">
        <f t="shared" si="0"/>
        <v>-1.3046280894388005</v>
      </c>
    </row>
    <row r="40" spans="1:20" x14ac:dyDescent="0.3">
      <c r="A40">
        <v>39</v>
      </c>
      <c r="B40">
        <v>3</v>
      </c>
      <c r="C40">
        <v>1769509770.4472899</v>
      </c>
      <c r="D40">
        <v>1769509836.3318901</v>
      </c>
      <c r="E40">
        <v>65.884600339865202</v>
      </c>
      <c r="F40">
        <v>1769509678</v>
      </c>
      <c r="G40">
        <v>1769509733</v>
      </c>
      <c r="H40">
        <v>55.411999999999999</v>
      </c>
      <c r="I40">
        <v>10.472600339865201</v>
      </c>
      <c r="J40">
        <v>10.472600339865201</v>
      </c>
      <c r="K40">
        <v>17.267755749990801</v>
      </c>
      <c r="L40">
        <v>103.331897497177</v>
      </c>
      <c r="M40">
        <v>103.331897497177</v>
      </c>
      <c r="N40" s="1">
        <v>5.83957762724009E-6</v>
      </c>
      <c r="O40" s="2">
        <v>46049.43715795139</v>
      </c>
      <c r="P40" s="2">
        <v>46049.437920509263</v>
      </c>
      <c r="Q40" s="3" t="s">
        <v>58</v>
      </c>
      <c r="R40" s="3" t="s">
        <v>61</v>
      </c>
      <c r="T40">
        <f t="shared" si="0"/>
        <v>-10.472600339865203</v>
      </c>
    </row>
    <row r="41" spans="1:20" x14ac:dyDescent="0.3">
      <c r="A41">
        <v>40</v>
      </c>
      <c r="B41">
        <v>2</v>
      </c>
      <c r="C41">
        <v>1769509770.8622401</v>
      </c>
      <c r="D41">
        <v>1769509832.0072401</v>
      </c>
      <c r="E41">
        <v>61.144992330775899</v>
      </c>
      <c r="F41">
        <v>1769509686</v>
      </c>
      <c r="G41">
        <v>1769509745</v>
      </c>
      <c r="H41">
        <v>59.893000000000001</v>
      </c>
      <c r="I41">
        <v>1.25199233077594</v>
      </c>
      <c r="J41">
        <v>1.25199233077594</v>
      </c>
      <c r="K41">
        <v>2.0687592493346401</v>
      </c>
      <c r="L41">
        <v>87.007241487502995</v>
      </c>
      <c r="M41">
        <v>87.007241487502995</v>
      </c>
      <c r="N41" s="1">
        <v>4.9170251587633398E-6</v>
      </c>
      <c r="O41" s="2">
        <v>46049.437162754628</v>
      </c>
      <c r="P41" s="2">
        <v>46049.437870451387</v>
      </c>
      <c r="Q41" s="3" t="s">
        <v>57</v>
      </c>
      <c r="R41" s="3" t="s">
        <v>62</v>
      </c>
      <c r="T41">
        <f t="shared" si="0"/>
        <v>-1.2519923307758987</v>
      </c>
    </row>
    <row r="42" spans="1:20" x14ac:dyDescent="0.3">
      <c r="A42">
        <v>41</v>
      </c>
      <c r="B42">
        <v>5</v>
      </c>
      <c r="C42">
        <v>1769509822.211</v>
      </c>
      <c r="D42">
        <v>1769509884.2093799</v>
      </c>
      <c r="E42">
        <v>61.998380338989399</v>
      </c>
      <c r="F42">
        <v>1769509728</v>
      </c>
      <c r="G42">
        <v>1769509785</v>
      </c>
      <c r="H42">
        <v>56.9</v>
      </c>
      <c r="I42">
        <v>5.0983803389894904</v>
      </c>
      <c r="J42">
        <v>5.0983803389894904</v>
      </c>
      <c r="K42">
        <v>8.5760299248039704</v>
      </c>
      <c r="L42">
        <v>99.209388494491506</v>
      </c>
      <c r="M42">
        <v>99.209388494491506</v>
      </c>
      <c r="N42" s="1">
        <v>5.6066028317189197E-6</v>
      </c>
      <c r="O42" s="2">
        <v>46049.437757071762</v>
      </c>
      <c r="P42" s="2">
        <v>46049.438474641203</v>
      </c>
      <c r="Q42" s="3" t="s">
        <v>59</v>
      </c>
      <c r="R42" s="3" t="s">
        <v>63</v>
      </c>
      <c r="T42">
        <f t="shared" si="0"/>
        <v>-5.0983803389894007</v>
      </c>
    </row>
    <row r="43" spans="1:20" x14ac:dyDescent="0.3">
      <c r="A43">
        <v>42</v>
      </c>
      <c r="B43">
        <v>1</v>
      </c>
      <c r="C43">
        <v>1769509830.7658501</v>
      </c>
      <c r="D43">
        <v>1769509893.1989801</v>
      </c>
      <c r="E43">
        <v>62.433126617994503</v>
      </c>
      <c r="F43">
        <v>1769509733</v>
      </c>
      <c r="G43">
        <v>1769509794</v>
      </c>
      <c r="H43">
        <v>60.628</v>
      </c>
      <c r="I43">
        <v>1.80512661799453</v>
      </c>
      <c r="J43">
        <v>1.80512661799453</v>
      </c>
      <c r="K43">
        <v>2.9337072845074701</v>
      </c>
      <c r="L43">
        <v>99.198982238769503</v>
      </c>
      <c r="M43">
        <v>99.198982238769503</v>
      </c>
      <c r="N43" s="1">
        <v>5.60601471631158E-6</v>
      </c>
      <c r="O43" s="2">
        <v>46049.437856087963</v>
      </c>
      <c r="P43" s="2">
        <v>46049.438578692127</v>
      </c>
      <c r="Q43" s="3" t="s">
        <v>61</v>
      </c>
      <c r="R43" s="3" t="s">
        <v>64</v>
      </c>
      <c r="T43">
        <f t="shared" si="0"/>
        <v>-1.8051266179945031</v>
      </c>
    </row>
    <row r="44" spans="1:20" x14ac:dyDescent="0.3">
      <c r="A44">
        <v>43</v>
      </c>
      <c r="B44">
        <v>4</v>
      </c>
      <c r="C44">
        <v>1769509830.9902999</v>
      </c>
      <c r="D44">
        <v>1769509898.3028901</v>
      </c>
      <c r="E44">
        <v>67.312592769215001</v>
      </c>
      <c r="F44">
        <v>1769509736</v>
      </c>
      <c r="G44">
        <v>1769509795</v>
      </c>
      <c r="H44">
        <v>58.323999999999998</v>
      </c>
      <c r="I44">
        <v>8.9885927692150407</v>
      </c>
      <c r="J44">
        <v>8.9885927692150407</v>
      </c>
      <c r="K44">
        <v>14.3088770096247</v>
      </c>
      <c r="L44">
        <v>103.302899599075</v>
      </c>
      <c r="M44">
        <v>103.302899599075</v>
      </c>
      <c r="N44" s="1">
        <v>5.8379386695452199E-6</v>
      </c>
      <c r="O44" s="2">
        <v>46049.437858680554</v>
      </c>
      <c r="P44" s="2">
        <v>46049.438637766201</v>
      </c>
      <c r="Q44" s="3" t="s">
        <v>65</v>
      </c>
      <c r="R44" s="3" t="s">
        <v>66</v>
      </c>
      <c r="T44">
        <f t="shared" si="0"/>
        <v>-8.9885927692150034</v>
      </c>
    </row>
    <row r="45" spans="1:20" x14ac:dyDescent="0.3">
      <c r="A45">
        <v>44</v>
      </c>
      <c r="B45">
        <v>2</v>
      </c>
      <c r="C45">
        <v>1769509832.0072401</v>
      </c>
      <c r="D45">
        <v>1769509892.6658101</v>
      </c>
      <c r="E45">
        <v>60.658574858680304</v>
      </c>
      <c r="F45">
        <v>1769509737</v>
      </c>
      <c r="G45">
        <v>1769509793</v>
      </c>
      <c r="H45">
        <v>56.725999999999999</v>
      </c>
      <c r="I45">
        <v>3.9325748586803702</v>
      </c>
      <c r="J45">
        <v>3.9325748586803702</v>
      </c>
      <c r="K45">
        <v>6.7003264499016399</v>
      </c>
      <c r="L45">
        <v>99.6658163070678</v>
      </c>
      <c r="M45">
        <v>99.6658163070678</v>
      </c>
      <c r="N45" s="1">
        <v>5.6323968307238796E-6</v>
      </c>
      <c r="O45" s="2">
        <v>46049.437870451387</v>
      </c>
      <c r="P45" s="2">
        <v>46049.438572523148</v>
      </c>
      <c r="Q45" s="3" t="s">
        <v>60</v>
      </c>
      <c r="R45" s="3" t="s">
        <v>67</v>
      </c>
      <c r="T45">
        <f t="shared" si="0"/>
        <v>-3.9325748586803044</v>
      </c>
    </row>
    <row r="46" spans="1:20" x14ac:dyDescent="0.3">
      <c r="A46">
        <v>45</v>
      </c>
      <c r="B46">
        <v>3</v>
      </c>
      <c r="C46">
        <v>1769509836.3318901</v>
      </c>
      <c r="D46">
        <v>1769509897.93595</v>
      </c>
      <c r="E46">
        <v>61.604058470011701</v>
      </c>
      <c r="F46">
        <v>1769509745</v>
      </c>
      <c r="G46">
        <v>1769509803</v>
      </c>
      <c r="H46">
        <v>57.125999999999998</v>
      </c>
      <c r="I46">
        <v>4.4780584700117503</v>
      </c>
      <c r="J46">
        <v>4.4780584700117503</v>
      </c>
      <c r="K46">
        <v>7.5432599422879898</v>
      </c>
      <c r="L46">
        <v>94.935956001281696</v>
      </c>
      <c r="M46">
        <v>94.935956001281696</v>
      </c>
      <c r="N46" s="1">
        <v>5.3650990400632196E-6</v>
      </c>
      <c r="O46" s="2">
        <v>46049.437920509263</v>
      </c>
      <c r="P46" s="2">
        <v>46049.438633518519</v>
      </c>
      <c r="Q46" s="3" t="s">
        <v>62</v>
      </c>
      <c r="R46" s="3" t="s">
        <v>68</v>
      </c>
      <c r="T46">
        <f t="shared" si="0"/>
        <v>-4.4780584700117032</v>
      </c>
    </row>
    <row r="47" spans="1:20" x14ac:dyDescent="0.3">
      <c r="A47">
        <v>46</v>
      </c>
      <c r="B47">
        <v>5</v>
      </c>
      <c r="C47">
        <v>1769509884.2093799</v>
      </c>
      <c r="D47">
        <v>1769509944.9038401</v>
      </c>
      <c r="E47">
        <v>60.694454251969702</v>
      </c>
      <c r="F47">
        <v>1769509785</v>
      </c>
      <c r="G47">
        <v>1769509848</v>
      </c>
      <c r="H47">
        <v>63.094999999999999</v>
      </c>
      <c r="I47">
        <v>-2.4005457480302201</v>
      </c>
      <c r="J47">
        <v>2.4005457480302201</v>
      </c>
      <c r="K47">
        <v>3.8784333650005198</v>
      </c>
      <c r="L47">
        <v>96.903842687606797</v>
      </c>
      <c r="M47">
        <v>96.903842687606797</v>
      </c>
      <c r="N47" s="1">
        <v>5.4763097331024004E-6</v>
      </c>
      <c r="O47" s="2">
        <v>46049.438474641203</v>
      </c>
      <c r="P47" s="2">
        <v>46049.439177129629</v>
      </c>
      <c r="Q47" s="3" t="s">
        <v>63</v>
      </c>
      <c r="R47" s="3" t="s">
        <v>69</v>
      </c>
      <c r="T47">
        <f t="shared" si="0"/>
        <v>2.4005457480302965</v>
      </c>
    </row>
    <row r="48" spans="1:20" x14ac:dyDescent="0.3">
      <c r="A48">
        <v>47</v>
      </c>
      <c r="B48">
        <v>2</v>
      </c>
      <c r="C48">
        <v>1769509892.6658101</v>
      </c>
      <c r="D48">
        <v>1769509954.5609901</v>
      </c>
      <c r="E48">
        <v>61.895182987137602</v>
      </c>
      <c r="F48">
        <v>1769509793</v>
      </c>
      <c r="G48">
        <v>1769509850</v>
      </c>
      <c r="H48">
        <v>57.386000000000003</v>
      </c>
      <c r="I48">
        <v>4.5091829871376197</v>
      </c>
      <c r="J48">
        <v>4.5091829871376197</v>
      </c>
      <c r="K48">
        <v>7.5605940085685699</v>
      </c>
      <c r="L48">
        <v>104.56099939346301</v>
      </c>
      <c r="M48">
        <v>104.56099939346301</v>
      </c>
      <c r="N48" s="1">
        <v>5.9090372570793497E-6</v>
      </c>
      <c r="O48" s="2">
        <v>46049.438572523148</v>
      </c>
      <c r="P48" s="2">
        <v>46049.439288900459</v>
      </c>
      <c r="Q48" s="3" t="s">
        <v>67</v>
      </c>
      <c r="R48" s="3" t="s">
        <v>70</v>
      </c>
      <c r="T48">
        <f t="shared" si="0"/>
        <v>-4.5091829871375992</v>
      </c>
    </row>
    <row r="49" spans="1:20" x14ac:dyDescent="0.3">
      <c r="A49">
        <v>48</v>
      </c>
      <c r="B49">
        <v>1</v>
      </c>
      <c r="C49">
        <v>1769509893.1989801</v>
      </c>
      <c r="D49">
        <v>1769509954.2932</v>
      </c>
      <c r="E49">
        <v>61.094223198675401</v>
      </c>
      <c r="F49">
        <v>1769509794</v>
      </c>
      <c r="G49">
        <v>1769509854</v>
      </c>
      <c r="H49">
        <v>60.398000000000003</v>
      </c>
      <c r="I49">
        <v>0.69622319867541105</v>
      </c>
      <c r="J49">
        <v>0.69622319867541105</v>
      </c>
      <c r="K49">
        <v>1.1461197767973701</v>
      </c>
      <c r="L49">
        <v>100.29320549964901</v>
      </c>
      <c r="M49">
        <v>100.29320549964901</v>
      </c>
      <c r="N49" s="1">
        <v>5.6678521699497501E-6</v>
      </c>
      <c r="O49" s="2">
        <v>46049.438578692127</v>
      </c>
      <c r="P49" s="2">
        <v>46049.439285798609</v>
      </c>
      <c r="Q49" s="3" t="s">
        <v>64</v>
      </c>
      <c r="R49" s="3" t="s">
        <v>71</v>
      </c>
      <c r="T49">
        <f t="shared" si="0"/>
        <v>-0.69622319867539773</v>
      </c>
    </row>
    <row r="50" spans="1:20" x14ac:dyDescent="0.3">
      <c r="A50">
        <v>49</v>
      </c>
      <c r="B50">
        <v>3</v>
      </c>
      <c r="C50">
        <v>1769509897.93595</v>
      </c>
      <c r="D50">
        <v>1769509964.69625</v>
      </c>
      <c r="E50">
        <v>66.760297115902205</v>
      </c>
      <c r="F50">
        <v>1769509795</v>
      </c>
      <c r="G50">
        <v>1769509853</v>
      </c>
      <c r="H50">
        <v>58.515999999999998</v>
      </c>
      <c r="I50">
        <v>8.2442971159022491</v>
      </c>
      <c r="J50">
        <v>8.2442971159022491</v>
      </c>
      <c r="K50">
        <v>13.161782884235199</v>
      </c>
      <c r="L50">
        <v>111.696253061294</v>
      </c>
      <c r="M50">
        <v>111.696253061294</v>
      </c>
      <c r="N50" s="1">
        <v>6.3122705616270796E-6</v>
      </c>
      <c r="O50" s="2">
        <v>46049.438633518519</v>
      </c>
      <c r="P50" s="2">
        <v>46049.439406203703</v>
      </c>
      <c r="Q50" s="3" t="s">
        <v>66</v>
      </c>
      <c r="R50" s="3" t="s">
        <v>72</v>
      </c>
      <c r="T50">
        <f t="shared" si="0"/>
        <v>-8.2442971159022065</v>
      </c>
    </row>
    <row r="51" spans="1:20" x14ac:dyDescent="0.3">
      <c r="A51">
        <v>50</v>
      </c>
      <c r="B51">
        <v>4</v>
      </c>
      <c r="C51">
        <v>1769509898.3028901</v>
      </c>
      <c r="D51">
        <v>1769509961.8804901</v>
      </c>
      <c r="E51">
        <v>63.577599616899299</v>
      </c>
      <c r="F51">
        <v>1769509803</v>
      </c>
      <c r="G51">
        <v>1769509864</v>
      </c>
      <c r="H51">
        <v>60.387</v>
      </c>
      <c r="I51">
        <v>3.19059961689939</v>
      </c>
      <c r="J51">
        <v>3.19059961689939</v>
      </c>
      <c r="K51">
        <v>5.1475979864568204</v>
      </c>
      <c r="L51">
        <v>97.880499124526906</v>
      </c>
      <c r="M51">
        <v>97.880499124526906</v>
      </c>
      <c r="N51" s="1">
        <v>5.53150329414583E-6</v>
      </c>
      <c r="O51" s="2">
        <v>46049.438637766201</v>
      </c>
      <c r="P51" s="2">
        <v>46049.439373611109</v>
      </c>
      <c r="Q51" s="3" t="s">
        <v>68</v>
      </c>
      <c r="R51" s="3" t="s">
        <v>73</v>
      </c>
      <c r="T51">
        <f t="shared" si="0"/>
        <v>-3.1905996168992985</v>
      </c>
    </row>
    <row r="52" spans="1:20" x14ac:dyDescent="0.3">
      <c r="A52">
        <v>51</v>
      </c>
      <c r="B52">
        <v>5</v>
      </c>
      <c r="C52">
        <v>1769509944.9038401</v>
      </c>
      <c r="D52">
        <v>1769510004.8671601</v>
      </c>
      <c r="E52">
        <v>59.963323043115402</v>
      </c>
      <c r="F52">
        <v>1769509848</v>
      </c>
      <c r="G52">
        <v>1769509905</v>
      </c>
      <c r="H52">
        <v>57.744</v>
      </c>
      <c r="I52">
        <v>2.2193230431154198</v>
      </c>
      <c r="J52">
        <v>2.2193230431154198</v>
      </c>
      <c r="K52">
        <v>3.7709175363753702</v>
      </c>
      <c r="L52">
        <v>99.867165803909302</v>
      </c>
      <c r="M52">
        <v>99.867165803909302</v>
      </c>
      <c r="N52" s="1">
        <v>5.6437753020529197E-6</v>
      </c>
      <c r="O52" s="2">
        <v>46049.439177129629</v>
      </c>
      <c r="P52" s="2">
        <v>46049.439871145834</v>
      </c>
      <c r="Q52" s="3" t="s">
        <v>69</v>
      </c>
      <c r="R52" s="3" t="s">
        <v>74</v>
      </c>
      <c r="T52">
        <f t="shared" si="0"/>
        <v>-2.2193230431154021</v>
      </c>
    </row>
    <row r="53" spans="1:20" x14ac:dyDescent="0.3">
      <c r="A53">
        <v>52</v>
      </c>
      <c r="B53">
        <v>1</v>
      </c>
      <c r="C53">
        <v>1769509954.2932</v>
      </c>
      <c r="D53">
        <v>1769510016.7840199</v>
      </c>
      <c r="E53">
        <v>62.490815268773197</v>
      </c>
      <c r="F53">
        <v>1769509850</v>
      </c>
      <c r="G53">
        <v>1769509908</v>
      </c>
      <c r="H53">
        <v>57.622</v>
      </c>
      <c r="I53">
        <v>4.8688152687732398</v>
      </c>
      <c r="J53">
        <v>4.8688152687732398</v>
      </c>
      <c r="K53">
        <v>8.1070704368695807</v>
      </c>
      <c r="L53">
        <v>108.784020662307</v>
      </c>
      <c r="M53">
        <v>108.784020662307</v>
      </c>
      <c r="N53" s="1">
        <v>6.1476919019576603E-6</v>
      </c>
      <c r="O53" s="2">
        <v>46049.439285798609</v>
      </c>
      <c r="P53" s="2">
        <v>46049.440009074075</v>
      </c>
      <c r="Q53" s="3" t="s">
        <v>70</v>
      </c>
      <c r="R53" s="3" t="s">
        <v>75</v>
      </c>
      <c r="T53">
        <f t="shared" si="0"/>
        <v>-4.8688152687731971</v>
      </c>
    </row>
    <row r="54" spans="1:20" x14ac:dyDescent="0.3">
      <c r="A54">
        <v>53</v>
      </c>
      <c r="B54">
        <v>2</v>
      </c>
      <c r="C54">
        <v>1769509954.5609901</v>
      </c>
      <c r="D54">
        <v>1769510014.7439699</v>
      </c>
      <c r="E54">
        <v>60.182976429430099</v>
      </c>
      <c r="F54">
        <v>1769509853</v>
      </c>
      <c r="G54">
        <v>1769509915</v>
      </c>
      <c r="H54">
        <v>61.448999999999998</v>
      </c>
      <c r="I54">
        <v>-1.2660235705698399</v>
      </c>
      <c r="J54">
        <v>1.2660235705698399</v>
      </c>
      <c r="K54">
        <v>2.0817281897978099</v>
      </c>
      <c r="L54">
        <v>99.743975877761798</v>
      </c>
      <c r="M54">
        <v>99.743975877761798</v>
      </c>
      <c r="N54" s="1">
        <v>5.6368134601026402E-6</v>
      </c>
      <c r="O54" s="2">
        <v>46049.439288900459</v>
      </c>
      <c r="P54" s="2">
        <v>46049.439985462966</v>
      </c>
      <c r="Q54" s="3" t="s">
        <v>72</v>
      </c>
      <c r="R54" s="3" t="s">
        <v>76</v>
      </c>
      <c r="T54">
        <f t="shared" si="0"/>
        <v>1.2660235705698994</v>
      </c>
    </row>
    <row r="55" spans="1:20" x14ac:dyDescent="0.3">
      <c r="A55">
        <v>54</v>
      </c>
      <c r="B55">
        <v>4</v>
      </c>
      <c r="C55">
        <v>1769509961.8804901</v>
      </c>
      <c r="D55">
        <v>1769510022.69206</v>
      </c>
      <c r="E55">
        <v>60.811568656907902</v>
      </c>
      <c r="F55">
        <v>1769509854</v>
      </c>
      <c r="G55">
        <v>1769509914</v>
      </c>
      <c r="H55">
        <v>59.396000000000001</v>
      </c>
      <c r="I55">
        <v>1.41556865690796</v>
      </c>
      <c r="J55">
        <v>1.41556865690796</v>
      </c>
      <c r="K55">
        <v>2.3552072015502201</v>
      </c>
      <c r="L55">
        <v>108.69206786155701</v>
      </c>
      <c r="M55">
        <v>108.69206786155701</v>
      </c>
      <c r="N55" s="1">
        <v>6.1424953691078498E-6</v>
      </c>
      <c r="O55" s="2">
        <v>46049.439373611109</v>
      </c>
      <c r="P55" s="2">
        <v>46049.440077453706</v>
      </c>
      <c r="Q55" s="3" t="s">
        <v>71</v>
      </c>
      <c r="R55" s="3" t="s">
        <v>77</v>
      </c>
      <c r="T55">
        <f t="shared" si="0"/>
        <v>-1.4155686569079009</v>
      </c>
    </row>
    <row r="56" spans="1:20" x14ac:dyDescent="0.3">
      <c r="A56">
        <v>55</v>
      </c>
      <c r="B56">
        <v>3</v>
      </c>
      <c r="C56">
        <v>1769509964.69625</v>
      </c>
      <c r="D56">
        <v>1769510026.10201</v>
      </c>
      <c r="E56">
        <v>61.405764761452097</v>
      </c>
      <c r="F56">
        <v>1769509863</v>
      </c>
      <c r="G56">
        <v>1769509925</v>
      </c>
      <c r="H56">
        <v>61.755000000000003</v>
      </c>
      <c r="I56">
        <v>-0.34923523854788302</v>
      </c>
      <c r="J56">
        <v>0.34923523854788302</v>
      </c>
      <c r="K56">
        <v>0.56712093209929504</v>
      </c>
      <c r="L56">
        <v>101.102017879486</v>
      </c>
      <c r="M56">
        <v>101.102017879486</v>
      </c>
      <c r="N56" s="1">
        <v>5.7135602102499502E-6</v>
      </c>
      <c r="O56" s="2">
        <v>46049.439406203703</v>
      </c>
      <c r="P56" s="2">
        <v>46049.440116921294</v>
      </c>
      <c r="Q56" s="3" t="s">
        <v>78</v>
      </c>
      <c r="R56" s="3" t="s">
        <v>79</v>
      </c>
      <c r="T56">
        <f t="shared" si="0"/>
        <v>0.34923523854790517</v>
      </c>
    </row>
    <row r="57" spans="1:20" x14ac:dyDescent="0.3">
      <c r="A57">
        <v>56</v>
      </c>
      <c r="B57">
        <v>5</v>
      </c>
      <c r="C57">
        <v>1769510004.8671601</v>
      </c>
      <c r="D57">
        <v>1769510065.4142201</v>
      </c>
      <c r="E57">
        <v>60.5470625513423</v>
      </c>
      <c r="F57">
        <v>1769509905</v>
      </c>
      <c r="G57">
        <v>1769509961</v>
      </c>
      <c r="H57">
        <v>55.634999999999998</v>
      </c>
      <c r="I57">
        <v>4.9120625513423199</v>
      </c>
      <c r="J57">
        <v>4.9120625513423199</v>
      </c>
      <c r="K57">
        <v>8.4558019430436904</v>
      </c>
      <c r="L57">
        <v>104.414228439331</v>
      </c>
      <c r="M57">
        <v>104.414228439331</v>
      </c>
      <c r="N57" s="1">
        <v>5.9007424462146696E-6</v>
      </c>
      <c r="O57" s="2">
        <v>46049.439871145834</v>
      </c>
      <c r="P57" s="2">
        <v>46049.440571921295</v>
      </c>
      <c r="Q57" s="3" t="s">
        <v>74</v>
      </c>
      <c r="R57" s="3" t="s">
        <v>80</v>
      </c>
      <c r="T57">
        <f t="shared" si="0"/>
        <v>-4.9120625513423022</v>
      </c>
    </row>
    <row r="58" spans="1:20" x14ac:dyDescent="0.3">
      <c r="A58">
        <v>57</v>
      </c>
      <c r="B58">
        <v>2</v>
      </c>
      <c r="C58">
        <v>1769510014.7439699</v>
      </c>
      <c r="D58">
        <v>1769510076.4904101</v>
      </c>
      <c r="E58">
        <v>61.746438182682098</v>
      </c>
      <c r="F58">
        <v>1769509908</v>
      </c>
      <c r="G58">
        <v>1769509964</v>
      </c>
      <c r="H58">
        <v>56.682000000000002</v>
      </c>
      <c r="I58">
        <v>5.0644381826820899</v>
      </c>
      <c r="J58">
        <v>5.0644381826820899</v>
      </c>
      <c r="K58">
        <v>8.5527399675235607</v>
      </c>
      <c r="L58">
        <v>112.490414142608</v>
      </c>
      <c r="M58">
        <v>112.490414142608</v>
      </c>
      <c r="N58" s="1">
        <v>6.3571504459195098E-6</v>
      </c>
      <c r="O58" s="2">
        <v>46049.439985462966</v>
      </c>
      <c r="P58" s="2">
        <v>46049.440700115738</v>
      </c>
      <c r="Q58" s="3" t="s">
        <v>75</v>
      </c>
      <c r="R58" s="3" t="s">
        <v>81</v>
      </c>
      <c r="T58">
        <f t="shared" si="0"/>
        <v>-5.0644381826820961</v>
      </c>
    </row>
    <row r="59" spans="1:20" x14ac:dyDescent="0.3">
      <c r="A59">
        <v>58</v>
      </c>
      <c r="B59">
        <v>1</v>
      </c>
      <c r="C59">
        <v>1769510016.7840199</v>
      </c>
      <c r="D59">
        <v>1769510080.5718501</v>
      </c>
      <c r="E59">
        <v>63.7878335007236</v>
      </c>
      <c r="F59">
        <v>1769509914</v>
      </c>
      <c r="G59">
        <v>1769509971</v>
      </c>
      <c r="H59">
        <v>57.895000000000003</v>
      </c>
      <c r="I59">
        <v>5.8928335007235999</v>
      </c>
      <c r="J59">
        <v>5.8928335007235999</v>
      </c>
      <c r="K59">
        <v>9.6855625911909105</v>
      </c>
      <c r="L59">
        <v>109.571854114532</v>
      </c>
      <c r="M59">
        <v>109.571854114532</v>
      </c>
      <c r="N59" s="1">
        <v>6.19221437108649E-6</v>
      </c>
      <c r="O59" s="2">
        <v>46049.440009074075</v>
      </c>
      <c r="P59" s="2">
        <v>46049.440747361114</v>
      </c>
      <c r="Q59" s="3" t="s">
        <v>77</v>
      </c>
      <c r="R59" s="3" t="s">
        <v>82</v>
      </c>
      <c r="T59">
        <f t="shared" si="0"/>
        <v>-5.8928335007235972</v>
      </c>
    </row>
    <row r="60" spans="1:20" x14ac:dyDescent="0.3">
      <c r="A60">
        <v>59</v>
      </c>
      <c r="B60">
        <v>4</v>
      </c>
      <c r="C60">
        <v>1769510022.69206</v>
      </c>
      <c r="D60">
        <v>1769510086.5978601</v>
      </c>
      <c r="E60">
        <v>63.905798732940802</v>
      </c>
      <c r="F60">
        <v>1769509915</v>
      </c>
      <c r="G60">
        <v>1769509975</v>
      </c>
      <c r="H60">
        <v>60.31</v>
      </c>
      <c r="I60">
        <v>3.5957987329408301</v>
      </c>
      <c r="J60">
        <v>3.5957987329408301</v>
      </c>
      <c r="K60">
        <v>5.78959966384254</v>
      </c>
      <c r="L60">
        <v>111.597866535186</v>
      </c>
      <c r="M60">
        <v>111.597866535186</v>
      </c>
      <c r="N60" s="1">
        <v>6.3067100266620298E-6</v>
      </c>
      <c r="O60" s="2">
        <v>46049.440077453706</v>
      </c>
      <c r="P60" s="2">
        <v>46049.440817106479</v>
      </c>
      <c r="Q60" s="3" t="s">
        <v>76</v>
      </c>
      <c r="R60" s="3" t="s">
        <v>83</v>
      </c>
      <c r="T60">
        <f t="shared" si="0"/>
        <v>-3.5957987329407999</v>
      </c>
    </row>
    <row r="61" spans="1:20" x14ac:dyDescent="0.3">
      <c r="A61">
        <v>60</v>
      </c>
      <c r="B61">
        <v>3</v>
      </c>
      <c r="C61">
        <v>1769510026.10201</v>
      </c>
      <c r="D61">
        <v>1769510086.6605899</v>
      </c>
      <c r="E61">
        <v>60.558579316529602</v>
      </c>
      <c r="F61">
        <v>1769509925</v>
      </c>
      <c r="G61">
        <v>1769509989</v>
      </c>
      <c r="H61">
        <v>63.646000000000001</v>
      </c>
      <c r="I61">
        <v>-3.0874206834703699</v>
      </c>
      <c r="J61">
        <v>3.0874206834703699</v>
      </c>
      <c r="K61">
        <v>4.9715086198266896</v>
      </c>
      <c r="L61">
        <v>97.660597085952702</v>
      </c>
      <c r="M61">
        <v>97.660597085952702</v>
      </c>
      <c r="N61" s="1">
        <v>5.5190756196952802E-6</v>
      </c>
      <c r="O61" s="2">
        <v>46049.440116921294</v>
      </c>
      <c r="P61" s="2">
        <v>46049.440817835646</v>
      </c>
      <c r="Q61" s="3" t="s">
        <v>79</v>
      </c>
      <c r="R61" s="3" t="s">
        <v>84</v>
      </c>
      <c r="T61">
        <f t="shared" si="0"/>
        <v>3.0874206834703983</v>
      </c>
    </row>
    <row r="62" spans="1:20" x14ac:dyDescent="0.3">
      <c r="A62">
        <v>61</v>
      </c>
      <c r="B62">
        <v>5</v>
      </c>
      <c r="C62">
        <v>1769510065.4142201</v>
      </c>
      <c r="D62">
        <v>1769510126.7131</v>
      </c>
      <c r="E62">
        <v>61.298874333997198</v>
      </c>
      <c r="F62">
        <v>1769509961</v>
      </c>
      <c r="G62">
        <v>1769510020</v>
      </c>
      <c r="H62">
        <v>59.216000000000001</v>
      </c>
      <c r="I62">
        <v>2.0828743339972702</v>
      </c>
      <c r="J62">
        <v>2.0828743339972702</v>
      </c>
      <c r="K62">
        <v>3.4566261559129301</v>
      </c>
      <c r="L62">
        <v>106.713102817535</v>
      </c>
      <c r="M62">
        <v>106.713102817535</v>
      </c>
      <c r="N62" s="1">
        <v>6.0306581140345302E-6</v>
      </c>
      <c r="O62" s="2">
        <v>46049.440571921295</v>
      </c>
      <c r="P62" s="2">
        <v>46049.441281400461</v>
      </c>
      <c r="Q62" s="3" t="s">
        <v>80</v>
      </c>
      <c r="R62" s="3" t="s">
        <v>85</v>
      </c>
      <c r="T62">
        <f t="shared" si="0"/>
        <v>-2.0828743339971965</v>
      </c>
    </row>
    <row r="63" spans="1:20" x14ac:dyDescent="0.3">
      <c r="A63">
        <v>62</v>
      </c>
      <c r="B63">
        <v>2</v>
      </c>
      <c r="C63">
        <v>1769510076.4904101</v>
      </c>
      <c r="D63">
        <v>1769510135.01544</v>
      </c>
      <c r="E63">
        <v>58.525028716285398</v>
      </c>
      <c r="F63">
        <v>1769509964</v>
      </c>
      <c r="G63">
        <v>1769510021</v>
      </c>
      <c r="H63">
        <v>57.463000000000001</v>
      </c>
      <c r="I63">
        <v>1.06202871628546</v>
      </c>
      <c r="J63">
        <v>1.06202871628546</v>
      </c>
      <c r="K63">
        <v>1.8312729822889799</v>
      </c>
      <c r="L63">
        <v>114.015442848205</v>
      </c>
      <c r="M63">
        <v>114.015442848205</v>
      </c>
      <c r="N63" s="1">
        <v>6.4433339072346299E-6</v>
      </c>
      <c r="O63" s="2">
        <v>46049.440700115738</v>
      </c>
      <c r="P63" s="2">
        <v>46049.441377488423</v>
      </c>
      <c r="Q63" s="3" t="s">
        <v>81</v>
      </c>
      <c r="R63" s="3" t="s">
        <v>86</v>
      </c>
      <c r="T63">
        <f t="shared" si="0"/>
        <v>-1.062028716285397</v>
      </c>
    </row>
    <row r="64" spans="1:20" x14ac:dyDescent="0.3">
      <c r="A64">
        <v>63</v>
      </c>
      <c r="B64">
        <v>1</v>
      </c>
      <c r="C64">
        <v>1769510080.5718501</v>
      </c>
      <c r="D64">
        <v>1769510142.57129</v>
      </c>
      <c r="E64">
        <v>61.999443975840897</v>
      </c>
      <c r="F64">
        <v>1769509971</v>
      </c>
      <c r="G64">
        <v>1769510028</v>
      </c>
      <c r="H64">
        <v>56.27</v>
      </c>
      <c r="I64">
        <v>5.7294439758409004</v>
      </c>
      <c r="J64">
        <v>5.7294439758409004</v>
      </c>
      <c r="K64">
        <v>9.6887983628489298</v>
      </c>
      <c r="L64">
        <v>114.57129812240601</v>
      </c>
      <c r="M64">
        <v>114.57129812240601</v>
      </c>
      <c r="N64" s="1">
        <v>6.4747468282392301E-6</v>
      </c>
      <c r="O64" s="2">
        <v>46049.440747361114</v>
      </c>
      <c r="P64" s="2">
        <v>46049.441464942131</v>
      </c>
      <c r="Q64" s="3" t="s">
        <v>82</v>
      </c>
      <c r="R64" s="3" t="s">
        <v>87</v>
      </c>
      <c r="T64">
        <f t="shared" si="0"/>
        <v>-5.7294439758408942</v>
      </c>
    </row>
    <row r="65" spans="1:20" x14ac:dyDescent="0.3">
      <c r="A65">
        <v>64</v>
      </c>
      <c r="B65">
        <v>4</v>
      </c>
      <c r="C65">
        <v>1769510086.5978601</v>
      </c>
      <c r="D65">
        <v>1769510146.8587401</v>
      </c>
      <c r="E65">
        <v>60.260879029834797</v>
      </c>
      <c r="F65">
        <v>1769509975</v>
      </c>
      <c r="G65">
        <v>1769510031</v>
      </c>
      <c r="H65">
        <v>55.923000000000002</v>
      </c>
      <c r="I65">
        <v>4.33787902983486</v>
      </c>
      <c r="J65">
        <v>4.33787902983486</v>
      </c>
      <c r="K65">
        <v>7.4672649356472904</v>
      </c>
      <c r="L65">
        <v>115.858745574951</v>
      </c>
      <c r="M65">
        <v>115.858745574951</v>
      </c>
      <c r="N65" s="1">
        <v>6.5475040973092402E-6</v>
      </c>
      <c r="O65" s="2">
        <v>46049.440817106479</v>
      </c>
      <c r="P65" s="2">
        <v>46049.441514571758</v>
      </c>
      <c r="Q65" s="3" t="s">
        <v>83</v>
      </c>
      <c r="R65" s="3" t="s">
        <v>88</v>
      </c>
      <c r="T65">
        <f t="shared" si="0"/>
        <v>-4.3378790298347951</v>
      </c>
    </row>
    <row r="66" spans="1:20" x14ac:dyDescent="0.3">
      <c r="A66">
        <v>65</v>
      </c>
      <c r="B66">
        <v>3</v>
      </c>
      <c r="C66">
        <v>1769510086.6605899</v>
      </c>
      <c r="D66">
        <v>1769510147.53021</v>
      </c>
      <c r="E66">
        <v>60.869621443677303</v>
      </c>
      <c r="F66">
        <v>1769509989</v>
      </c>
      <c r="G66">
        <v>1769510049</v>
      </c>
      <c r="H66">
        <v>60.482999999999997</v>
      </c>
      <c r="I66">
        <v>0.38662144367737</v>
      </c>
      <c r="J66">
        <v>0.38662144367737</v>
      </c>
      <c r="K66">
        <v>0.63718680169889896</v>
      </c>
      <c r="L66">
        <v>98.530218601226807</v>
      </c>
      <c r="M66">
        <v>98.530218601226807</v>
      </c>
      <c r="N66" s="1">
        <v>5.5682201925735996E-6</v>
      </c>
      <c r="O66" s="2">
        <v>46049.440817835646</v>
      </c>
      <c r="P66" s="2">
        <v>46049.441522337962</v>
      </c>
      <c r="Q66" s="3" t="s">
        <v>84</v>
      </c>
      <c r="R66" s="3" t="s">
        <v>89</v>
      </c>
      <c r="T66">
        <f t="shared" si="0"/>
        <v>-0.38662144367730633</v>
      </c>
    </row>
    <row r="67" spans="1:20" x14ac:dyDescent="0.3">
      <c r="A67">
        <v>66</v>
      </c>
      <c r="B67">
        <v>5</v>
      </c>
      <c r="C67">
        <v>1769510126.7131</v>
      </c>
      <c r="D67">
        <v>1769510187.8375199</v>
      </c>
      <c r="E67">
        <v>61.124425640974501</v>
      </c>
      <c r="F67">
        <v>1769510020</v>
      </c>
      <c r="G67">
        <v>1769510078</v>
      </c>
      <c r="H67">
        <v>57.442</v>
      </c>
      <c r="I67">
        <v>3.6824256409745502</v>
      </c>
      <c r="J67">
        <v>3.6824256409745502</v>
      </c>
      <c r="K67">
        <v>6.2115824459870801</v>
      </c>
      <c r="L67">
        <v>109.837528467178</v>
      </c>
      <c r="M67">
        <v>109.837528467178</v>
      </c>
      <c r="N67" s="1">
        <v>6.2072280019105603E-6</v>
      </c>
      <c r="O67" s="2">
        <v>46049.441281400461</v>
      </c>
      <c r="P67" s="2">
        <v>46049.441988865743</v>
      </c>
      <c r="Q67" s="3" t="s">
        <v>85</v>
      </c>
      <c r="R67" s="3" t="s">
        <v>90</v>
      </c>
      <c r="T67">
        <f t="shared" ref="T67:T98" si="1">H67-E67</f>
        <v>-3.6824256409745004</v>
      </c>
    </row>
    <row r="68" spans="1:20" x14ac:dyDescent="0.3">
      <c r="A68">
        <v>67</v>
      </c>
      <c r="B68">
        <v>2</v>
      </c>
      <c r="C68">
        <v>1769510135.01544</v>
      </c>
      <c r="D68">
        <v>1769510194.56603</v>
      </c>
      <c r="E68">
        <v>59.550592254043103</v>
      </c>
      <c r="F68">
        <v>1769510021</v>
      </c>
      <c r="G68">
        <v>1769510080</v>
      </c>
      <c r="H68">
        <v>58.512999999999998</v>
      </c>
      <c r="I68">
        <v>1.0375922540431699</v>
      </c>
      <c r="J68">
        <v>1.0375922540431699</v>
      </c>
      <c r="K68">
        <v>1.75768369271796</v>
      </c>
      <c r="L68">
        <v>114.566035032272</v>
      </c>
      <c r="M68">
        <v>114.566035032272</v>
      </c>
      <c r="N68" s="1">
        <v>6.4744492059357104E-6</v>
      </c>
      <c r="O68" s="2">
        <v>46049.441377488423</v>
      </c>
      <c r="P68" s="2">
        <v>46049.442066736112</v>
      </c>
      <c r="Q68" s="3" t="s">
        <v>86</v>
      </c>
      <c r="R68" s="3" t="s">
        <v>91</v>
      </c>
      <c r="T68">
        <f t="shared" si="1"/>
        <v>-1.0375922540431048</v>
      </c>
    </row>
    <row r="69" spans="1:20" x14ac:dyDescent="0.3">
      <c r="A69">
        <v>68</v>
      </c>
      <c r="B69">
        <v>1</v>
      </c>
      <c r="C69">
        <v>1769510142.57129</v>
      </c>
      <c r="D69">
        <v>1769510203.76227</v>
      </c>
      <c r="E69">
        <v>61.190974065472901</v>
      </c>
      <c r="F69">
        <v>1769510028</v>
      </c>
      <c r="G69">
        <v>1769510083</v>
      </c>
      <c r="H69">
        <v>55.695</v>
      </c>
      <c r="I69">
        <v>5.4959740654729803</v>
      </c>
      <c r="J69">
        <v>5.4959740654729803</v>
      </c>
      <c r="K69">
        <v>9.4039924112613296</v>
      </c>
      <c r="L69">
        <v>120.762272119522</v>
      </c>
      <c r="M69">
        <v>120.762272119522</v>
      </c>
      <c r="N69" s="1">
        <v>6.8246159860249502E-6</v>
      </c>
      <c r="O69" s="2">
        <v>46049.441464942131</v>
      </c>
      <c r="P69" s="2">
        <v>46049.442173171294</v>
      </c>
      <c r="Q69" s="3" t="s">
        <v>87</v>
      </c>
      <c r="R69" s="3" t="s">
        <v>92</v>
      </c>
      <c r="T69">
        <f t="shared" si="1"/>
        <v>-5.4959740654729003</v>
      </c>
    </row>
    <row r="70" spans="1:20" x14ac:dyDescent="0.3">
      <c r="A70">
        <v>69</v>
      </c>
      <c r="B70">
        <v>4</v>
      </c>
      <c r="C70">
        <v>1769510146.8587401</v>
      </c>
      <c r="D70">
        <v>1769510206.0662501</v>
      </c>
      <c r="E70">
        <v>59.207505481267702</v>
      </c>
      <c r="F70">
        <v>1769510031</v>
      </c>
      <c r="G70">
        <v>1769510087</v>
      </c>
      <c r="H70">
        <v>56.271000000000001</v>
      </c>
      <c r="I70">
        <v>2.93650548126771</v>
      </c>
      <c r="J70">
        <v>2.93650548126771</v>
      </c>
      <c r="K70">
        <v>5.0858044430511899</v>
      </c>
      <c r="L70">
        <v>119.066251039505</v>
      </c>
      <c r="M70">
        <v>119.066251039505</v>
      </c>
      <c r="N70" s="1">
        <v>6.7287690479075796E-6</v>
      </c>
      <c r="O70" s="2">
        <v>46049.441514571758</v>
      </c>
      <c r="P70" s="2">
        <v>46049.442199837962</v>
      </c>
      <c r="Q70" s="3" t="s">
        <v>88</v>
      </c>
      <c r="R70" s="3" t="s">
        <v>93</v>
      </c>
      <c r="T70">
        <f t="shared" si="1"/>
        <v>-2.9365054812677016</v>
      </c>
    </row>
    <row r="71" spans="1:20" x14ac:dyDescent="0.3">
      <c r="A71">
        <v>70</v>
      </c>
      <c r="B71">
        <v>3</v>
      </c>
      <c r="C71">
        <v>1769510147.53021</v>
      </c>
      <c r="D71">
        <v>1769510208.0220001</v>
      </c>
      <c r="E71">
        <v>60.491784322385101</v>
      </c>
      <c r="F71">
        <v>1769510049</v>
      </c>
      <c r="G71">
        <v>1769510110</v>
      </c>
      <c r="H71">
        <v>60.640999999999998</v>
      </c>
      <c r="I71">
        <v>-0.149215677614805</v>
      </c>
      <c r="J71">
        <v>0.149215677614805</v>
      </c>
      <c r="K71">
        <v>0.24636712257464399</v>
      </c>
      <c r="L71">
        <v>98.022002935409503</v>
      </c>
      <c r="M71">
        <v>98.022002935409503</v>
      </c>
      <c r="N71" s="1">
        <v>5.5394993035923003E-6</v>
      </c>
      <c r="O71" s="2">
        <v>46049.441522337962</v>
      </c>
      <c r="P71" s="2">
        <v>46049.44222247685</v>
      </c>
      <c r="Q71" s="3" t="s">
        <v>89</v>
      </c>
      <c r="R71" s="3" t="s">
        <v>94</v>
      </c>
      <c r="T71">
        <f t="shared" si="1"/>
        <v>0.1492156776148974</v>
      </c>
    </row>
    <row r="72" spans="1:20" x14ac:dyDescent="0.3">
      <c r="A72">
        <v>71</v>
      </c>
      <c r="B72">
        <v>5</v>
      </c>
      <c r="C72">
        <v>1769510187.8375199</v>
      </c>
      <c r="D72">
        <v>1769510247.5836599</v>
      </c>
      <c r="E72">
        <v>59.746133549076703</v>
      </c>
      <c r="F72">
        <v>1769510078</v>
      </c>
      <c r="G72">
        <v>1769510134</v>
      </c>
      <c r="H72">
        <v>56.649000000000001</v>
      </c>
      <c r="I72">
        <v>3.09713354907676</v>
      </c>
      <c r="J72">
        <v>3.09713354907676</v>
      </c>
      <c r="K72">
        <v>5.3217577997294701</v>
      </c>
      <c r="L72">
        <v>113.583662033081</v>
      </c>
      <c r="M72">
        <v>113.583662033081</v>
      </c>
      <c r="N72" s="1">
        <v>6.4189323477280403E-6</v>
      </c>
      <c r="O72" s="2">
        <v>46049.441988865743</v>
      </c>
      <c r="P72" s="2">
        <v>46049.442680370368</v>
      </c>
      <c r="Q72" s="3" t="s">
        <v>90</v>
      </c>
      <c r="R72" s="3" t="s">
        <v>95</v>
      </c>
      <c r="T72">
        <f t="shared" si="1"/>
        <v>-3.0971335490767018</v>
      </c>
    </row>
    <row r="73" spans="1:20" x14ac:dyDescent="0.3">
      <c r="A73">
        <v>72</v>
      </c>
      <c r="B73">
        <v>2</v>
      </c>
      <c r="C73">
        <v>1769510194.56603</v>
      </c>
      <c r="D73">
        <v>1769510254.10531</v>
      </c>
      <c r="E73">
        <v>59.539282621592498</v>
      </c>
      <c r="F73">
        <v>1769510080</v>
      </c>
      <c r="G73">
        <v>1769510137</v>
      </c>
      <c r="H73">
        <v>57.972999999999999</v>
      </c>
      <c r="I73">
        <v>1.5662826215925401</v>
      </c>
      <c r="J73">
        <v>1.5662826215925401</v>
      </c>
      <c r="K73">
        <v>2.6657343158522702</v>
      </c>
      <c r="L73">
        <v>117.10531759262</v>
      </c>
      <c r="M73">
        <v>117.10531759262</v>
      </c>
      <c r="N73" s="1">
        <v>6.6179509949670599E-6</v>
      </c>
      <c r="O73" s="2">
        <v>46049.442066736112</v>
      </c>
      <c r="P73" s="2">
        <v>46049.44275584491</v>
      </c>
      <c r="Q73" s="3" t="s">
        <v>91</v>
      </c>
      <c r="R73" s="3" t="s">
        <v>96</v>
      </c>
      <c r="T73">
        <f t="shared" si="1"/>
        <v>-1.5662826215924994</v>
      </c>
    </row>
    <row r="74" spans="1:20" x14ac:dyDescent="0.3">
      <c r="A74">
        <v>73</v>
      </c>
      <c r="B74">
        <v>1</v>
      </c>
      <c r="C74">
        <v>1769510203.76227</v>
      </c>
      <c r="D74">
        <v>1769510263.9359801</v>
      </c>
      <c r="E74">
        <v>60.173714852200099</v>
      </c>
      <c r="F74">
        <v>1769510083</v>
      </c>
      <c r="G74">
        <v>1769510144</v>
      </c>
      <c r="H74">
        <v>60.728000000000002</v>
      </c>
      <c r="I74">
        <v>-0.55428514779989502</v>
      </c>
      <c r="J74">
        <v>0.55428514779989502</v>
      </c>
      <c r="K74">
        <v>0.91691858709778795</v>
      </c>
      <c r="L74">
        <v>119.93598699569699</v>
      </c>
      <c r="M74">
        <v>119.93598699569699</v>
      </c>
      <c r="N74" s="1">
        <v>6.7779200553209301E-6</v>
      </c>
      <c r="O74" s="2">
        <v>46049.442173171294</v>
      </c>
      <c r="P74" s="2">
        <v>46049.442869629631</v>
      </c>
      <c r="Q74" s="3" t="s">
        <v>92</v>
      </c>
      <c r="R74" s="3" t="s">
        <v>97</v>
      </c>
      <c r="T74">
        <f t="shared" si="1"/>
        <v>0.55428514779990223</v>
      </c>
    </row>
    <row r="75" spans="1:20" x14ac:dyDescent="0.3">
      <c r="A75">
        <v>74</v>
      </c>
      <c r="B75">
        <v>4</v>
      </c>
      <c r="C75">
        <v>1769510206.0662501</v>
      </c>
      <c r="D75">
        <v>1769510266.79334</v>
      </c>
      <c r="E75">
        <v>60.7270953859095</v>
      </c>
      <c r="F75">
        <v>1769510087</v>
      </c>
      <c r="G75">
        <v>1769510145</v>
      </c>
      <c r="H75">
        <v>58.234000000000002</v>
      </c>
      <c r="I75">
        <v>2.4930953859095601</v>
      </c>
      <c r="J75">
        <v>2.4930953859095601</v>
      </c>
      <c r="K75">
        <v>4.1914465865028703</v>
      </c>
      <c r="L75">
        <v>121.793346405029</v>
      </c>
      <c r="M75">
        <v>121.793346405029</v>
      </c>
      <c r="N75" s="1">
        <v>6.88288465357069E-6</v>
      </c>
      <c r="O75" s="2">
        <v>46049.442199837962</v>
      </c>
      <c r="P75" s="2">
        <v>46049.442902696763</v>
      </c>
      <c r="Q75" s="3" t="s">
        <v>93</v>
      </c>
      <c r="R75" s="3" t="s">
        <v>98</v>
      </c>
      <c r="T75">
        <f t="shared" si="1"/>
        <v>-2.4930953859094984</v>
      </c>
    </row>
    <row r="76" spans="1:20" x14ac:dyDescent="0.3">
      <c r="A76">
        <v>75</v>
      </c>
      <c r="B76">
        <v>3</v>
      </c>
      <c r="C76">
        <v>1769510208.0220001</v>
      </c>
      <c r="D76">
        <v>1769510269.70455</v>
      </c>
      <c r="E76">
        <v>61.682549873340299</v>
      </c>
      <c r="F76">
        <v>1769510110</v>
      </c>
      <c r="G76">
        <v>1769510174</v>
      </c>
      <c r="H76">
        <v>63.765999999999998</v>
      </c>
      <c r="I76">
        <v>-2.0834501266596201</v>
      </c>
      <c r="J76">
        <v>2.0834501266596201</v>
      </c>
      <c r="K76">
        <v>3.3216009730892702</v>
      </c>
      <c r="L76">
        <v>95.704552888870197</v>
      </c>
      <c r="M76">
        <v>95.704552888870197</v>
      </c>
      <c r="N76" s="1">
        <v>5.4085334861015496E-6</v>
      </c>
      <c r="O76" s="2">
        <v>46049.44222247685</v>
      </c>
      <c r="P76" s="2">
        <v>46049.442936400461</v>
      </c>
      <c r="Q76" s="3" t="s">
        <v>94</v>
      </c>
      <c r="R76" s="3" t="s">
        <v>99</v>
      </c>
      <c r="T76">
        <f t="shared" si="1"/>
        <v>2.0834501266596988</v>
      </c>
    </row>
    <row r="77" spans="1:20" x14ac:dyDescent="0.3">
      <c r="A77">
        <v>76</v>
      </c>
      <c r="B77">
        <v>5</v>
      </c>
      <c r="C77">
        <v>1769510247.5836599</v>
      </c>
      <c r="D77">
        <v>1769510308.2711</v>
      </c>
      <c r="E77">
        <v>60.687438743548299</v>
      </c>
      <c r="F77">
        <v>1769510134</v>
      </c>
      <c r="G77">
        <v>1769510191</v>
      </c>
      <c r="H77">
        <v>57.341999999999999</v>
      </c>
      <c r="I77">
        <v>3.3454387435483199</v>
      </c>
      <c r="J77">
        <v>3.3454387435483199</v>
      </c>
      <c r="K77">
        <v>5.6688208961447497</v>
      </c>
      <c r="L77">
        <v>117.271100759506</v>
      </c>
      <c r="M77">
        <v>117.271100759506</v>
      </c>
      <c r="N77" s="1">
        <v>6.6273196656339996E-6</v>
      </c>
      <c r="O77" s="2">
        <v>46049.442680370368</v>
      </c>
      <c r="P77" s="2">
        <v>46049.443382766207</v>
      </c>
      <c r="Q77" s="3" t="s">
        <v>95</v>
      </c>
      <c r="R77" s="3" t="s">
        <v>100</v>
      </c>
      <c r="T77">
        <f t="shared" si="1"/>
        <v>-3.3454387435483</v>
      </c>
    </row>
    <row r="78" spans="1:20" x14ac:dyDescent="0.3">
      <c r="A78">
        <v>77</v>
      </c>
      <c r="B78">
        <v>2</v>
      </c>
      <c r="C78">
        <v>1769510254.10531</v>
      </c>
      <c r="D78">
        <v>1769510315.94786</v>
      </c>
      <c r="E78">
        <v>61.842548926568398</v>
      </c>
      <c r="F78">
        <v>1769510137</v>
      </c>
      <c r="G78">
        <v>1769510196</v>
      </c>
      <c r="H78">
        <v>58.143000000000001</v>
      </c>
      <c r="I78">
        <v>3.6995489265684198</v>
      </c>
      <c r="J78">
        <v>3.6995489265684198</v>
      </c>
      <c r="K78">
        <v>6.1666575011171698</v>
      </c>
      <c r="L78">
        <v>119.94786643981899</v>
      </c>
      <c r="M78">
        <v>119.94786643981899</v>
      </c>
      <c r="N78" s="1">
        <v>6.77859119690721E-6</v>
      </c>
      <c r="O78" s="2">
        <v>46049.44275584491</v>
      </c>
      <c r="P78" s="2">
        <v>46049.443471620369</v>
      </c>
      <c r="Q78" s="3" t="s">
        <v>96</v>
      </c>
      <c r="R78" s="3" t="s">
        <v>101</v>
      </c>
      <c r="T78">
        <f t="shared" si="1"/>
        <v>-3.6995489265683972</v>
      </c>
    </row>
    <row r="79" spans="1:20" x14ac:dyDescent="0.3">
      <c r="A79">
        <v>78</v>
      </c>
      <c r="B79">
        <v>1</v>
      </c>
      <c r="C79">
        <v>1769510263.9359801</v>
      </c>
      <c r="D79">
        <v>1769510326.42168</v>
      </c>
      <c r="E79">
        <v>62.485696465055497</v>
      </c>
      <c r="F79">
        <v>1769510144</v>
      </c>
      <c r="G79">
        <v>1769510205</v>
      </c>
      <c r="H79">
        <v>61.426000000000002</v>
      </c>
      <c r="I79">
        <v>1.05969646505558</v>
      </c>
      <c r="J79">
        <v>1.05969646505558</v>
      </c>
      <c r="K79">
        <v>1.71040587012612</v>
      </c>
      <c r="L79">
        <v>121.42168354988</v>
      </c>
      <c r="M79">
        <v>121.42168354988</v>
      </c>
      <c r="N79" s="1">
        <v>6.8618807080559002E-6</v>
      </c>
      <c r="O79" s="2">
        <v>46049.442869629631</v>
      </c>
      <c r="P79" s="2">
        <v>46049.443592847223</v>
      </c>
      <c r="Q79" s="3" t="s">
        <v>97</v>
      </c>
      <c r="R79" s="3" t="s">
        <v>102</v>
      </c>
      <c r="T79">
        <f t="shared" si="1"/>
        <v>-1.0596964650554952</v>
      </c>
    </row>
    <row r="80" spans="1:20" x14ac:dyDescent="0.3">
      <c r="A80">
        <v>79</v>
      </c>
      <c r="B80">
        <v>4</v>
      </c>
      <c r="C80">
        <v>1769510266.79334</v>
      </c>
      <c r="D80">
        <v>1769510341.7646899</v>
      </c>
      <c r="E80">
        <v>74.971349387835701</v>
      </c>
      <c r="F80">
        <v>1769510145</v>
      </c>
      <c r="G80">
        <v>1769510206</v>
      </c>
      <c r="H80">
        <v>60.689</v>
      </c>
      <c r="I80">
        <v>14.2823493878357</v>
      </c>
      <c r="J80">
        <v>14.2823493878357</v>
      </c>
      <c r="K80">
        <v>21.0560409910257</v>
      </c>
      <c r="L80">
        <v>135.76469588279701</v>
      </c>
      <c r="M80">
        <v>135.76469588279701</v>
      </c>
      <c r="N80" s="1">
        <v>7.6724446241799002E-6</v>
      </c>
      <c r="O80" s="2">
        <v>46049.442902696763</v>
      </c>
      <c r="P80" s="2">
        <v>46049.443770428239</v>
      </c>
      <c r="Q80" s="3" t="s">
        <v>98</v>
      </c>
      <c r="R80" s="3" t="s">
        <v>103</v>
      </c>
      <c r="T80">
        <f t="shared" si="1"/>
        <v>-14.282349387835701</v>
      </c>
    </row>
    <row r="81" spans="1:20" x14ac:dyDescent="0.3">
      <c r="A81">
        <v>80</v>
      </c>
      <c r="B81">
        <v>3</v>
      </c>
      <c r="C81">
        <v>1769510269.70455</v>
      </c>
      <c r="D81">
        <v>1769510330.5855801</v>
      </c>
      <c r="E81">
        <v>60.8810280900463</v>
      </c>
      <c r="F81">
        <v>1769510174</v>
      </c>
      <c r="G81">
        <v>1769510236</v>
      </c>
      <c r="H81">
        <v>62.069000000000003</v>
      </c>
      <c r="I81">
        <v>-1.1879719099536801</v>
      </c>
      <c r="J81">
        <v>1.1879719099536801</v>
      </c>
      <c r="K81">
        <v>1.93244674833849</v>
      </c>
      <c r="L81">
        <v>94.585581064224201</v>
      </c>
      <c r="M81">
        <v>94.585581064224201</v>
      </c>
      <c r="N81" s="1">
        <v>5.3452970551951101E-6</v>
      </c>
      <c r="O81" s="2">
        <v>46049.442936400461</v>
      </c>
      <c r="P81" s="2">
        <v>46049.443641041667</v>
      </c>
      <c r="Q81" s="3" t="s">
        <v>99</v>
      </c>
      <c r="R81" s="3" t="s">
        <v>104</v>
      </c>
      <c r="T81">
        <f t="shared" si="1"/>
        <v>1.1879719099537027</v>
      </c>
    </row>
    <row r="82" spans="1:20" x14ac:dyDescent="0.3">
      <c r="A82">
        <v>81</v>
      </c>
      <c r="B82">
        <v>5</v>
      </c>
      <c r="C82">
        <v>1769510308.2711</v>
      </c>
      <c r="D82">
        <v>1769510368.4242001</v>
      </c>
      <c r="E82">
        <v>60.153103546130197</v>
      </c>
      <c r="F82">
        <v>1769510191</v>
      </c>
      <c r="G82">
        <v>1769510250</v>
      </c>
      <c r="H82">
        <v>59.054000000000002</v>
      </c>
      <c r="I82">
        <v>1.0991035461302301</v>
      </c>
      <c r="J82">
        <v>1.0991035461302301</v>
      </c>
      <c r="K82">
        <v>1.8440235748281699</v>
      </c>
      <c r="L82">
        <v>118.424204349517</v>
      </c>
      <c r="M82">
        <v>118.424204349517</v>
      </c>
      <c r="N82" s="1">
        <v>6.6924845666622697E-6</v>
      </c>
      <c r="O82" s="2">
        <v>46049.443382766207</v>
      </c>
      <c r="P82" s="2">
        <v>46049.444078981483</v>
      </c>
      <c r="Q82" s="3" t="s">
        <v>100</v>
      </c>
      <c r="R82" s="3" t="s">
        <v>105</v>
      </c>
      <c r="T82">
        <f t="shared" si="1"/>
        <v>-1.0991035461301948</v>
      </c>
    </row>
    <row r="83" spans="1:20" x14ac:dyDescent="0.3">
      <c r="A83">
        <v>82</v>
      </c>
      <c r="B83">
        <v>2</v>
      </c>
      <c r="C83">
        <v>1769510315.94786</v>
      </c>
      <c r="D83">
        <v>1769510375.8315799</v>
      </c>
      <c r="E83">
        <v>59.883719783672497</v>
      </c>
      <c r="F83">
        <v>1769510196</v>
      </c>
      <c r="G83">
        <v>1769510253</v>
      </c>
      <c r="H83">
        <v>57.878999999999998</v>
      </c>
      <c r="I83">
        <v>2.0047197836725101</v>
      </c>
      <c r="J83">
        <v>2.0047197836725101</v>
      </c>
      <c r="K83">
        <v>3.4046764330089099</v>
      </c>
      <c r="L83">
        <v>122.83158612251199</v>
      </c>
      <c r="M83">
        <v>122.83158612251199</v>
      </c>
      <c r="N83" s="1">
        <v>6.9415580752387898E-6</v>
      </c>
      <c r="O83" s="2">
        <v>46049.443471620369</v>
      </c>
      <c r="P83" s="2">
        <v>46049.444164722219</v>
      </c>
      <c r="Q83" s="3" t="s">
        <v>101</v>
      </c>
      <c r="R83" s="3" t="s">
        <v>106</v>
      </c>
      <c r="T83">
        <f t="shared" si="1"/>
        <v>-2.004719783672499</v>
      </c>
    </row>
    <row r="84" spans="1:20" x14ac:dyDescent="0.3">
      <c r="A84">
        <v>83</v>
      </c>
      <c r="B84">
        <v>1</v>
      </c>
      <c r="C84">
        <v>1769510326.42168</v>
      </c>
      <c r="D84">
        <v>1769510383.98016</v>
      </c>
      <c r="E84">
        <v>57.558477935036898</v>
      </c>
      <c r="F84">
        <v>1769510205</v>
      </c>
      <c r="G84">
        <v>1769510266</v>
      </c>
      <c r="H84">
        <v>60.573</v>
      </c>
      <c r="I84">
        <v>-3.01452206496307</v>
      </c>
      <c r="J84">
        <v>3.01452206496307</v>
      </c>
      <c r="K84">
        <v>5.1036728188922202</v>
      </c>
      <c r="L84">
        <v>117.980161428451</v>
      </c>
      <c r="M84">
        <v>117.980161428451</v>
      </c>
      <c r="N84" s="1">
        <v>6.66739039395618E-6</v>
      </c>
      <c r="O84" s="2">
        <v>46049.443592847223</v>
      </c>
      <c r="P84" s="2">
        <v>46049.444259027776</v>
      </c>
      <c r="Q84" s="3" t="s">
        <v>102</v>
      </c>
      <c r="R84" s="3" t="s">
        <v>107</v>
      </c>
      <c r="T84">
        <f t="shared" si="1"/>
        <v>3.0145220649631028</v>
      </c>
    </row>
    <row r="85" spans="1:20" x14ac:dyDescent="0.3">
      <c r="A85">
        <v>84</v>
      </c>
      <c r="B85">
        <v>3</v>
      </c>
      <c r="C85">
        <v>1769510330.5855801</v>
      </c>
      <c r="D85">
        <v>1769510391.6601901</v>
      </c>
      <c r="E85">
        <v>61.074615772364503</v>
      </c>
      <c r="F85">
        <v>1769510206</v>
      </c>
      <c r="G85">
        <v>1769510267</v>
      </c>
      <c r="H85">
        <v>60.661000000000001</v>
      </c>
      <c r="I85">
        <v>0.41361577236452202</v>
      </c>
      <c r="J85">
        <v>0.41361577236452202</v>
      </c>
      <c r="K85">
        <v>0.67953124439432699</v>
      </c>
      <c r="L85">
        <v>124.66019678115801</v>
      </c>
      <c r="M85">
        <v>124.66019678115801</v>
      </c>
      <c r="N85" s="1">
        <v>7.0448979423789096E-6</v>
      </c>
      <c r="O85" s="2">
        <v>46049.443641041667</v>
      </c>
      <c r="P85" s="2">
        <v>46049.444347916666</v>
      </c>
      <c r="Q85" s="3" t="s">
        <v>103</v>
      </c>
      <c r="R85" s="3" t="s">
        <v>108</v>
      </c>
      <c r="T85">
        <f t="shared" si="1"/>
        <v>-0.41361577236450131</v>
      </c>
    </row>
    <row r="86" spans="1:20" x14ac:dyDescent="0.3">
      <c r="A86">
        <v>85</v>
      </c>
      <c r="B86">
        <v>4</v>
      </c>
      <c r="C86">
        <v>1769510341.7646899</v>
      </c>
      <c r="D86">
        <v>1769510407.0571699</v>
      </c>
      <c r="E86">
        <v>65.292478372528095</v>
      </c>
      <c r="F86">
        <v>1769510236</v>
      </c>
      <c r="G86">
        <v>1769510301</v>
      </c>
      <c r="H86">
        <v>65.665999999999997</v>
      </c>
      <c r="I86">
        <v>-0.37352162747184497</v>
      </c>
      <c r="J86">
        <v>0.37352162747184497</v>
      </c>
      <c r="K86">
        <v>0.57044283365803194</v>
      </c>
      <c r="L86">
        <v>106.05717420578</v>
      </c>
      <c r="M86">
        <v>106.05717420578</v>
      </c>
      <c r="N86" s="1">
        <v>5.9935887893689298E-6</v>
      </c>
      <c r="O86" s="2">
        <v>46049.443770428239</v>
      </c>
      <c r="P86" s="2">
        <v>46049.444526122687</v>
      </c>
      <c r="Q86" s="3" t="s">
        <v>104</v>
      </c>
      <c r="R86" s="3" t="s">
        <v>109</v>
      </c>
      <c r="T86">
        <f t="shared" si="1"/>
        <v>0.37352162747190221</v>
      </c>
    </row>
    <row r="87" spans="1:20" x14ac:dyDescent="0.3">
      <c r="A87">
        <v>86</v>
      </c>
      <c r="B87">
        <v>5</v>
      </c>
      <c r="C87">
        <v>1769510368.4242001</v>
      </c>
      <c r="D87">
        <v>1769510428.75173</v>
      </c>
      <c r="E87">
        <v>60.327525664700097</v>
      </c>
      <c r="F87">
        <v>1769510250</v>
      </c>
      <c r="G87">
        <v>1769510306</v>
      </c>
      <c r="H87">
        <v>55.856000000000002</v>
      </c>
      <c r="I87">
        <v>4.4715256647001196</v>
      </c>
      <c r="J87">
        <v>4.4715256647001196</v>
      </c>
      <c r="K87">
        <v>7.69734889541005</v>
      </c>
      <c r="L87">
        <v>122.75172996520899</v>
      </c>
      <c r="M87">
        <v>122.75172996520899</v>
      </c>
      <c r="N87" s="1">
        <v>6.9370449717820702E-6</v>
      </c>
      <c r="O87" s="2">
        <v>46049.444078981483</v>
      </c>
      <c r="P87" s="2">
        <v>46049.444777222219</v>
      </c>
      <c r="Q87" s="3" t="s">
        <v>105</v>
      </c>
      <c r="R87" s="3" t="s">
        <v>110</v>
      </c>
      <c r="T87">
        <f t="shared" si="1"/>
        <v>-4.4715256647000956</v>
      </c>
    </row>
    <row r="88" spans="1:20" x14ac:dyDescent="0.3">
      <c r="A88">
        <v>87</v>
      </c>
      <c r="B88">
        <v>2</v>
      </c>
      <c r="C88">
        <v>1769510375.8315799</v>
      </c>
      <c r="D88">
        <v>1769510435.68823</v>
      </c>
      <c r="E88">
        <v>59.856652610412098</v>
      </c>
      <c r="F88">
        <v>1769510253</v>
      </c>
      <c r="G88">
        <v>1769510310</v>
      </c>
      <c r="H88">
        <v>56.268000000000001</v>
      </c>
      <c r="I88">
        <v>3.5886526104121699</v>
      </c>
      <c r="J88">
        <v>3.5886526104121699</v>
      </c>
      <c r="K88">
        <v>6.1806903697732203</v>
      </c>
      <c r="L88">
        <v>125.688238620758</v>
      </c>
      <c r="M88">
        <v>125.688238620758</v>
      </c>
      <c r="N88" s="1">
        <v>7.1029953002615196E-6</v>
      </c>
      <c r="O88" s="2">
        <v>46049.444164722219</v>
      </c>
      <c r="P88" s="2">
        <v>46049.444857499999</v>
      </c>
      <c r="Q88" s="3" t="s">
        <v>106</v>
      </c>
      <c r="R88" s="3" t="s">
        <v>111</v>
      </c>
      <c r="T88">
        <f t="shared" si="1"/>
        <v>-3.5886526104120975</v>
      </c>
    </row>
    <row r="89" spans="1:20" x14ac:dyDescent="0.3">
      <c r="A89">
        <v>88</v>
      </c>
      <c r="B89">
        <v>1</v>
      </c>
      <c r="C89">
        <v>1769510383.98016</v>
      </c>
      <c r="D89">
        <v>1769510448.9338901</v>
      </c>
      <c r="E89">
        <v>64.953730937726505</v>
      </c>
      <c r="F89">
        <v>1769510266</v>
      </c>
      <c r="G89">
        <v>1769510323</v>
      </c>
      <c r="H89">
        <v>57.844000000000001</v>
      </c>
      <c r="I89">
        <v>7.1097309377265798</v>
      </c>
      <c r="J89">
        <v>7.1097309377265798</v>
      </c>
      <c r="K89">
        <v>11.5795803121673</v>
      </c>
      <c r="L89">
        <v>125.93389225006101</v>
      </c>
      <c r="M89">
        <v>125.93389225006101</v>
      </c>
      <c r="N89" s="1">
        <v>7.1168778238758203E-6</v>
      </c>
      <c r="O89" s="2">
        <v>46049.444259027776</v>
      </c>
      <c r="P89" s="2">
        <v>46049.445010810188</v>
      </c>
      <c r="Q89" s="3" t="s">
        <v>107</v>
      </c>
      <c r="R89" s="3" t="s">
        <v>112</v>
      </c>
      <c r="T89">
        <f t="shared" si="1"/>
        <v>-7.1097309377265034</v>
      </c>
    </row>
    <row r="90" spans="1:20" x14ac:dyDescent="0.3">
      <c r="A90">
        <v>89</v>
      </c>
      <c r="B90">
        <v>3</v>
      </c>
      <c r="C90">
        <v>1769510391.6601901</v>
      </c>
      <c r="D90">
        <v>1769510453.09464</v>
      </c>
      <c r="E90">
        <v>61.434448251371201</v>
      </c>
      <c r="F90">
        <v>1769510267</v>
      </c>
      <c r="G90">
        <v>1769510324</v>
      </c>
      <c r="H90">
        <v>57.646000000000001</v>
      </c>
      <c r="I90">
        <v>3.7884482513712601</v>
      </c>
      <c r="J90">
        <v>3.7884482513712601</v>
      </c>
      <c r="K90">
        <v>6.3628384121868402</v>
      </c>
      <c r="L90">
        <v>129.09464502334501</v>
      </c>
      <c r="M90">
        <v>129.09464502334501</v>
      </c>
      <c r="N90" s="1">
        <v>7.2955008266058303E-6</v>
      </c>
      <c r="O90" s="2">
        <v>46049.444347916666</v>
      </c>
      <c r="P90" s="2">
        <v>46049.445058969904</v>
      </c>
      <c r="Q90" s="3" t="s">
        <v>108</v>
      </c>
      <c r="R90" s="3" t="s">
        <v>113</v>
      </c>
      <c r="T90">
        <f t="shared" si="1"/>
        <v>-3.7884482513712001</v>
      </c>
    </row>
    <row r="91" spans="1:20" x14ac:dyDescent="0.3">
      <c r="A91">
        <v>90</v>
      </c>
      <c r="B91">
        <v>4</v>
      </c>
      <c r="C91">
        <v>1769510407.0571699</v>
      </c>
      <c r="D91">
        <v>1769510466.59919</v>
      </c>
      <c r="E91">
        <v>59.542024439727498</v>
      </c>
      <c r="F91">
        <v>1769510301</v>
      </c>
      <c r="G91">
        <v>1769510364</v>
      </c>
      <c r="H91">
        <v>63.357999999999997</v>
      </c>
      <c r="I91">
        <v>-3.8159755602724799</v>
      </c>
      <c r="J91">
        <v>3.8159755602724799</v>
      </c>
      <c r="K91">
        <v>6.2098857631129398</v>
      </c>
      <c r="L91">
        <v>102.59919857978799</v>
      </c>
      <c r="M91">
        <v>102.59919857978799</v>
      </c>
      <c r="N91" s="1">
        <v>5.7981686738146102E-6</v>
      </c>
      <c r="O91" s="2">
        <v>46049.444526122687</v>
      </c>
      <c r="P91" s="2">
        <v>46049.445215266205</v>
      </c>
      <c r="Q91" s="3" t="s">
        <v>109</v>
      </c>
      <c r="R91" s="3" t="s">
        <v>114</v>
      </c>
      <c r="T91">
        <f t="shared" si="1"/>
        <v>3.8159755602724985</v>
      </c>
    </row>
    <row r="92" spans="1:20" x14ac:dyDescent="0.3">
      <c r="A92">
        <v>91</v>
      </c>
      <c r="B92">
        <v>5</v>
      </c>
      <c r="C92">
        <v>1769510428.75173</v>
      </c>
      <c r="D92">
        <v>1769510489.69329</v>
      </c>
      <c r="E92">
        <v>60.941563773794897</v>
      </c>
      <c r="F92">
        <v>1769510306</v>
      </c>
      <c r="G92">
        <v>1769510362</v>
      </c>
      <c r="H92">
        <v>56.703000000000003</v>
      </c>
      <c r="I92">
        <v>4.2385637737949802</v>
      </c>
      <c r="J92">
        <v>4.2385637737949802</v>
      </c>
      <c r="K92">
        <v>7.2057112336186204</v>
      </c>
      <c r="L92">
        <v>127.69329380988999</v>
      </c>
      <c r="M92">
        <v>127.69329380988999</v>
      </c>
      <c r="N92" s="1">
        <v>7.2163063830943E-6</v>
      </c>
      <c r="O92" s="2">
        <v>46049.444777222219</v>
      </c>
      <c r="P92" s="2">
        <v>46049.445482557872</v>
      </c>
      <c r="Q92" s="3" t="s">
        <v>110</v>
      </c>
      <c r="R92" s="3" t="s">
        <v>115</v>
      </c>
      <c r="T92">
        <f t="shared" si="1"/>
        <v>-4.238563773794894</v>
      </c>
    </row>
    <row r="93" spans="1:20" x14ac:dyDescent="0.3">
      <c r="A93">
        <v>92</v>
      </c>
      <c r="B93">
        <v>2</v>
      </c>
      <c r="C93">
        <v>1769510435.68823</v>
      </c>
      <c r="D93">
        <v>1769510499.0617099</v>
      </c>
      <c r="E93">
        <v>63.3734758019664</v>
      </c>
      <c r="F93">
        <v>1769510310</v>
      </c>
      <c r="G93">
        <v>1769510369</v>
      </c>
      <c r="H93">
        <v>59.008000000000003</v>
      </c>
      <c r="I93">
        <v>4.3654758019664399</v>
      </c>
      <c r="J93">
        <v>4.3654758019664399</v>
      </c>
      <c r="K93">
        <v>7.1342100973361502</v>
      </c>
      <c r="L93">
        <v>130.06171441078101</v>
      </c>
      <c r="M93">
        <v>130.06171441078101</v>
      </c>
      <c r="N93" s="1">
        <v>7.3501524438320302E-6</v>
      </c>
      <c r="O93" s="2">
        <v>46049.444857499999</v>
      </c>
      <c r="P93" s="2">
        <v>46049.445590995369</v>
      </c>
      <c r="Q93" s="3" t="s">
        <v>111</v>
      </c>
      <c r="R93" s="3" t="s">
        <v>116</v>
      </c>
      <c r="T93">
        <f t="shared" si="1"/>
        <v>-4.3654758019663973</v>
      </c>
    </row>
    <row r="94" spans="1:20" x14ac:dyDescent="0.3">
      <c r="A94">
        <v>93</v>
      </c>
      <c r="B94">
        <v>1</v>
      </c>
      <c r="C94">
        <v>1769510448.9338901</v>
      </c>
      <c r="D94">
        <v>1769510507.74564</v>
      </c>
      <c r="E94">
        <v>58.811751018787803</v>
      </c>
      <c r="F94">
        <v>1769510323</v>
      </c>
      <c r="G94">
        <v>1769510380</v>
      </c>
      <c r="H94">
        <v>56.454999999999998</v>
      </c>
      <c r="I94">
        <v>2.35675101878783</v>
      </c>
      <c r="J94">
        <v>2.35675101878783</v>
      </c>
      <c r="K94">
        <v>4.0892121933821102</v>
      </c>
      <c r="L94">
        <v>127.74564337730401</v>
      </c>
      <c r="M94">
        <v>127.74564337730401</v>
      </c>
      <c r="N94" s="1">
        <v>7.2192647305157899E-6</v>
      </c>
      <c r="O94" s="2">
        <v>46049.445010810188</v>
      </c>
      <c r="P94" s="2">
        <v>46049.445691504632</v>
      </c>
      <c r="Q94" s="3" t="s">
        <v>112</v>
      </c>
      <c r="R94" s="3" t="s">
        <v>117</v>
      </c>
      <c r="T94">
        <f t="shared" si="1"/>
        <v>-2.3567510187878042</v>
      </c>
    </row>
    <row r="95" spans="1:20" x14ac:dyDescent="0.3">
      <c r="A95">
        <v>94</v>
      </c>
      <c r="B95">
        <v>3</v>
      </c>
      <c r="C95">
        <v>1769510453.09464</v>
      </c>
      <c r="D95">
        <v>1769510513.4769199</v>
      </c>
      <c r="E95">
        <v>60.382275587281903</v>
      </c>
      <c r="F95">
        <v>1769510324</v>
      </c>
      <c r="G95">
        <v>1769510383</v>
      </c>
      <c r="H95">
        <v>58.62</v>
      </c>
      <c r="I95">
        <v>1.76227558728196</v>
      </c>
      <c r="J95">
        <v>1.76227558728196</v>
      </c>
      <c r="K95">
        <v>2.9617510733892298</v>
      </c>
      <c r="L95">
        <v>130.47692060470499</v>
      </c>
      <c r="M95">
        <v>130.47692060470499</v>
      </c>
      <c r="N95" s="1">
        <v>7.3736168517453503E-6</v>
      </c>
      <c r="O95" s="2">
        <v>46049.445058969904</v>
      </c>
      <c r="P95" s="2">
        <v>46049.445757835645</v>
      </c>
      <c r="Q95" s="3" t="s">
        <v>113</v>
      </c>
      <c r="R95" s="3" t="s">
        <v>118</v>
      </c>
      <c r="T95">
        <f t="shared" si="1"/>
        <v>-1.7622755872819056</v>
      </c>
    </row>
    <row r="96" spans="1:20" x14ac:dyDescent="0.3">
      <c r="A96">
        <v>95</v>
      </c>
      <c r="B96">
        <v>4</v>
      </c>
      <c r="C96">
        <v>1769510466.59919</v>
      </c>
      <c r="D96">
        <v>1769510528.8136899</v>
      </c>
      <c r="E96">
        <v>62.214498903235899</v>
      </c>
      <c r="F96">
        <v>1769510362</v>
      </c>
      <c r="G96">
        <v>1769510420</v>
      </c>
      <c r="H96">
        <v>58.02</v>
      </c>
      <c r="I96">
        <v>4.1944989032359103</v>
      </c>
      <c r="J96">
        <v>4.1944989032359103</v>
      </c>
      <c r="K96">
        <v>6.9771969634299804</v>
      </c>
      <c r="L96">
        <v>108.813697576522</v>
      </c>
      <c r="M96">
        <v>108.813697576522</v>
      </c>
      <c r="N96" s="1">
        <v>6.1493672487583204E-6</v>
      </c>
      <c r="O96" s="2">
        <v>46049.445215266205</v>
      </c>
      <c r="P96" s="2">
        <v>46049.445935347219</v>
      </c>
      <c r="Q96" s="3" t="s">
        <v>115</v>
      </c>
      <c r="R96" s="3" t="s">
        <v>119</v>
      </c>
      <c r="T96">
        <f t="shared" si="1"/>
        <v>-4.1944989032358961</v>
      </c>
    </row>
    <row r="97" spans="1:20" x14ac:dyDescent="0.3">
      <c r="A97">
        <v>96</v>
      </c>
      <c r="B97">
        <v>5</v>
      </c>
      <c r="C97">
        <v>1769510489.69329</v>
      </c>
      <c r="D97">
        <v>1769510627.8577001</v>
      </c>
      <c r="E97">
        <v>138.16441574580799</v>
      </c>
      <c r="F97">
        <v>1769510364</v>
      </c>
      <c r="G97">
        <v>1769510403</v>
      </c>
      <c r="H97">
        <v>39.575000000000003</v>
      </c>
      <c r="I97">
        <v>98.589415745808395</v>
      </c>
      <c r="J97">
        <v>98.589415745808395</v>
      </c>
      <c r="K97">
        <v>110.93703141998</v>
      </c>
      <c r="L97">
        <v>224.85770964622401</v>
      </c>
      <c r="M97">
        <v>224.85770964622401</v>
      </c>
      <c r="N97" s="1">
        <v>1.2707339554392399E-5</v>
      </c>
      <c r="O97" s="2">
        <v>46049.445482557872</v>
      </c>
      <c r="P97" s="2">
        <v>46049.447081689817</v>
      </c>
      <c r="Q97" s="3" t="s">
        <v>114</v>
      </c>
      <c r="R97" s="3" t="s">
        <v>120</v>
      </c>
      <c r="T97">
        <f t="shared" si="1"/>
        <v>-98.589415745807983</v>
      </c>
    </row>
    <row r="98" spans="1:20" x14ac:dyDescent="0.3">
      <c r="A98">
        <v>97</v>
      </c>
      <c r="B98">
        <v>2</v>
      </c>
      <c r="C98">
        <v>1769510499.0617099</v>
      </c>
      <c r="D98">
        <v>1769510637.22613</v>
      </c>
      <c r="E98">
        <v>138.16441574580799</v>
      </c>
      <c r="F98">
        <v>1769510369</v>
      </c>
      <c r="G98">
        <v>1769510388</v>
      </c>
      <c r="H98">
        <v>19.050999999999998</v>
      </c>
      <c r="I98">
        <v>119.113415745808</v>
      </c>
      <c r="J98">
        <v>119.113415745808</v>
      </c>
      <c r="K98">
        <v>151.52892632157</v>
      </c>
      <c r="L98">
        <v>249.226130247116</v>
      </c>
      <c r="M98">
        <v>249.226130247116</v>
      </c>
      <c r="N98" s="1">
        <v>1.4084467341145E-5</v>
      </c>
      <c r="O98" s="2">
        <v>46049.445590995369</v>
      </c>
      <c r="P98" s="2">
        <v>46049.447190115738</v>
      </c>
      <c r="Q98" s="3" t="s">
        <v>116</v>
      </c>
      <c r="R98" s="3" t="s">
        <v>121</v>
      </c>
      <c r="T98">
        <f t="shared" si="1"/>
        <v>-119.11341574580798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2026-06-18T11:33:39Z</dcterms:modified>
</cp:coreProperties>
</file>