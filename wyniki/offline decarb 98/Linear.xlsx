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ce2b8ec1b16a9a7/Pulpit/Magisterka/Dane do pracy/Wyniki symulacji 1/offline decarb 98/"/>
    </mc:Choice>
  </mc:AlternateContent>
  <xr:revisionPtr revIDLastSave="16" documentId="11_AD4DADEC636C813AC809E415181B7BC65BDEDD96" xr6:coauthVersionLast="47" xr6:coauthVersionMax="47" xr10:uidLastSave="{6176A810-0B9A-4F51-B9C3-D9146124A56B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8" i="1" l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X2" i="1"/>
  <c r="W2" i="1"/>
  <c r="V2" i="1"/>
  <c r="U2" i="1"/>
  <c r="T2" i="1"/>
</calcChain>
</file>

<file path=xl/sharedStrings.xml><?xml version="1.0" encoding="utf-8"?>
<sst xmlns="http://schemas.openxmlformats.org/spreadsheetml/2006/main" count="217" uniqueCount="127">
  <si>
    <t>real_end_datetime</t>
  </si>
  <si>
    <t>real_start_datetime</t>
  </si>
  <si>
    <t>predicted_end_datetime</t>
  </si>
  <si>
    <t>predicted_start_datetime</t>
  </si>
  <si>
    <t>end_time_smape</t>
  </si>
  <si>
    <t>end_time_abs_error_seconds</t>
  </si>
  <si>
    <t>end_time_error_seconds</t>
  </si>
  <si>
    <t>duration_smape</t>
  </si>
  <si>
    <t>duration_abs_error_seconds</t>
  </si>
  <si>
    <t>duration_error_seconds</t>
  </si>
  <si>
    <t>real_duration_seconds</t>
  </si>
  <si>
    <t>real_end_time</t>
  </si>
  <si>
    <t>real_start_time</t>
  </si>
  <si>
    <t>predicted_duration_seconds</t>
  </si>
  <si>
    <t>predicted_end_time</t>
  </si>
  <si>
    <t>predicted_start_time</t>
  </si>
  <si>
    <t>worker_id</t>
  </si>
  <si>
    <t>queue_position</t>
  </si>
  <si>
    <t>27,01,2026  10:17:15</t>
  </si>
  <si>
    <t>27,01,2026  10:17:37</t>
  </si>
  <si>
    <t>27,01,2026  10:17:30</t>
  </si>
  <si>
    <t>27,01,2026  10:17:17</t>
  </si>
  <si>
    <t>27,01,2026  10:17:18</t>
  </si>
  <si>
    <t>27,01,2026  10:17:46</t>
  </si>
  <si>
    <t>27,01,2026  10:17:29</t>
  </si>
  <si>
    <t>27,01,2026  10:17:50</t>
  </si>
  <si>
    <t>27,01,2026  10:19:28</t>
  </si>
  <si>
    <t>27,01,2026  10:18:07</t>
  </si>
  <si>
    <t>27,01,2026  10:18:02</t>
  </si>
  <si>
    <t>27,01,2026  10:18:11</t>
  </si>
  <si>
    <t>27,01,2026  10:21:08</t>
  </si>
  <si>
    <t>27,01,2026  10:21:30</t>
  </si>
  <si>
    <t>27,01,2026  10:23:23</t>
  </si>
  <si>
    <t>27,01,2026  10:21:25</t>
  </si>
  <si>
    <t>27,01,2026  10:21:09</t>
  </si>
  <si>
    <t>27,01,2026  10:21:39</t>
  </si>
  <si>
    <t>27,01,2026  10:21:34</t>
  </si>
  <si>
    <t>27,01,2026  10:21:24</t>
  </si>
  <si>
    <t>27,01,2026  10:21:48</t>
  </si>
  <si>
    <t>27,01,2026  10:21:52</t>
  </si>
  <si>
    <t>27,01,2026  10:21:55</t>
  </si>
  <si>
    <t>27,01,2026  10:22:09</t>
  </si>
  <si>
    <t>27,01,2026  10:22:15</t>
  </si>
  <si>
    <t>27,01,2026  10:24:55</t>
  </si>
  <si>
    <t>27,01,2026  10:25:58</t>
  </si>
  <si>
    <t>27,01,2026  10:26:03</t>
  </si>
  <si>
    <t>27,01,2026  10:26:06</t>
  </si>
  <si>
    <t>27,01,2026  10:24:56</t>
  </si>
  <si>
    <t>27,01,2026  10:25:54</t>
  </si>
  <si>
    <t>27,01,2026  10:24:57</t>
  </si>
  <si>
    <t>27,01,2026  10:26:50</t>
  </si>
  <si>
    <t>27,01,2026  10:26:56</t>
  </si>
  <si>
    <t>27,01,2026  10:26:59</t>
  </si>
  <si>
    <t>27,01,2026  10:27:03</t>
  </si>
  <si>
    <t>27,01,2026  10:27:48</t>
  </si>
  <si>
    <t>27,01,2026  10:27:55</t>
  </si>
  <si>
    <t>27,01,2026  10:27:57</t>
  </si>
  <si>
    <t>27,01,2026  10:28:06</t>
  </si>
  <si>
    <t>27,01,2026  10:27:58</t>
  </si>
  <si>
    <t>27,01,2026  10:28:48</t>
  </si>
  <si>
    <t>27,01,2026  10:28:57</t>
  </si>
  <si>
    <t>27,01,2026  10:28:53</t>
  </si>
  <si>
    <t>27,01,2026  10:29:05</t>
  </si>
  <si>
    <t>27,01,2026  10:29:45</t>
  </si>
  <si>
    <t>27,01,2026  10:29:54</t>
  </si>
  <si>
    <t>27,01,2026  10:28:56</t>
  </si>
  <si>
    <t>27,01,2026  10:29:55</t>
  </si>
  <si>
    <t>27,01,2026  10:29:53</t>
  </si>
  <si>
    <t>27,01,2026  10:30:03</t>
  </si>
  <si>
    <t>27,01,2026  10:30:48</t>
  </si>
  <si>
    <t>27,01,2026  10:30:50</t>
  </si>
  <si>
    <t>27,01,2026  10:30:54</t>
  </si>
  <si>
    <t>27,01,2026  10:30:53</t>
  </si>
  <si>
    <t>27,01,2026  10:31:04</t>
  </si>
  <si>
    <t>27,01,2026  10:31:45</t>
  </si>
  <si>
    <t>27,01,2026  10:31:48</t>
  </si>
  <si>
    <t>27,01,2026  10:31:55</t>
  </si>
  <si>
    <t>27,01,2026  10:31:54</t>
  </si>
  <si>
    <t>27,01,2026  10:31:03</t>
  </si>
  <si>
    <t>27,01,2026  10:32:05</t>
  </si>
  <si>
    <t>27,01,2026  10:32:41</t>
  </si>
  <si>
    <t>27,01,2026  10:32:44</t>
  </si>
  <si>
    <t>27,01,2026  10:32:51</t>
  </si>
  <si>
    <t>27,01,2026  10:32:55</t>
  </si>
  <si>
    <t>27,01,2026  10:33:09</t>
  </si>
  <si>
    <t>27,01,2026  10:33:40</t>
  </si>
  <si>
    <t>27,01,2026  10:33:41</t>
  </si>
  <si>
    <t>27,01,2026  10:33:48</t>
  </si>
  <si>
    <t>27,01,2026  10:33:51</t>
  </si>
  <si>
    <t>27,01,2026  10:34:09</t>
  </si>
  <si>
    <t>27,01,2026  10:34:38</t>
  </si>
  <si>
    <t>27,01,2026  10:34:40</t>
  </si>
  <si>
    <t>27,01,2026  10:34:43</t>
  </si>
  <si>
    <t>27,01,2026  10:34:47</t>
  </si>
  <si>
    <t>27,01,2026  10:35:10</t>
  </si>
  <si>
    <t>27,01,2026  10:35:34</t>
  </si>
  <si>
    <t>27,01,2026  10:35:37</t>
  </si>
  <si>
    <t>27,01,2026  10:35:44</t>
  </si>
  <si>
    <t>27,01,2026  10:35:45</t>
  </si>
  <si>
    <t>27,01,2026  10:36:14</t>
  </si>
  <si>
    <t>27,01,2026  10:36:31</t>
  </si>
  <si>
    <t>27,01,2026  10:36:36</t>
  </si>
  <si>
    <t>27,01,2026  10:36:45</t>
  </si>
  <si>
    <t>27,01,2026  10:36:46</t>
  </si>
  <si>
    <t>27,01,2026  10:37:16</t>
  </si>
  <si>
    <t>27,01,2026  10:37:30</t>
  </si>
  <si>
    <t>27,01,2026  10:37:33</t>
  </si>
  <si>
    <t>27,01,2026  10:37:46</t>
  </si>
  <si>
    <t>27,01,2026  10:37:47</t>
  </si>
  <si>
    <t>27,01,2026  10:38:21</t>
  </si>
  <si>
    <t>27,01,2026  10:38:26</t>
  </si>
  <si>
    <t>27,01,2026  10:38:30</t>
  </si>
  <si>
    <t>27,01,2026  10:38:43</t>
  </si>
  <si>
    <t>27,01,2026  10:38:44</t>
  </si>
  <si>
    <t>27,01,2026  10:39:24</t>
  </si>
  <si>
    <t>27,01,2026  10:39:22</t>
  </si>
  <si>
    <t>27,01,2026  10:39:29</t>
  </si>
  <si>
    <t>27,01,2026  10:39:40</t>
  </si>
  <si>
    <t>27,01,2026  10:39:43</t>
  </si>
  <si>
    <t>27,01,2026  10:40:20</t>
  </si>
  <si>
    <t>27,01,2026  10:40:03</t>
  </si>
  <si>
    <t>27,01,2026  10:39:48</t>
  </si>
  <si>
    <t>residua</t>
  </si>
  <si>
    <t>średnie_res</t>
  </si>
  <si>
    <t>mediana_res</t>
  </si>
  <si>
    <t>pred_zawyzone</t>
  </si>
  <si>
    <t>pred_zanizone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</si>
</sst>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7" fontId="0" fillId="0" borderId="0" xfId="0" applyNumberFormat="1"/>
    <xf numFmtId="1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Real vs Predicted Linear</a:t>
            </a:r>
            <a:r>
              <a:rPr lang="pl-PL" baseline="0"/>
              <a:t> Regression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</c:numCache>
            </c:numRef>
          </c:xVal>
          <c:yVal>
            <c:numRef>
              <c:f>Arkusz1!$E$2:$E$186</c:f>
              <c:numCache>
                <c:formatCode>General</c:formatCode>
                <c:ptCount val="185"/>
                <c:pt idx="0">
                  <c:v>88.290673249250005</c:v>
                </c:pt>
                <c:pt idx="1">
                  <c:v>88.290673249250005</c:v>
                </c:pt>
                <c:pt idx="2">
                  <c:v>88.290673249250005</c:v>
                </c:pt>
                <c:pt idx="3">
                  <c:v>88.290673249250005</c:v>
                </c:pt>
                <c:pt idx="4">
                  <c:v>88.290673249250005</c:v>
                </c:pt>
                <c:pt idx="5">
                  <c:v>88.290673249250005</c:v>
                </c:pt>
                <c:pt idx="6">
                  <c:v>88.290673249250005</c:v>
                </c:pt>
                <c:pt idx="7">
                  <c:v>88.290673249250005</c:v>
                </c:pt>
                <c:pt idx="8">
                  <c:v>88.290673249250005</c:v>
                </c:pt>
                <c:pt idx="9">
                  <c:v>88.290673249250005</c:v>
                </c:pt>
                <c:pt idx="10">
                  <c:v>88.290673249250005</c:v>
                </c:pt>
                <c:pt idx="11">
                  <c:v>88.290673249250005</c:v>
                </c:pt>
                <c:pt idx="12">
                  <c:v>88.290673249250005</c:v>
                </c:pt>
                <c:pt idx="13">
                  <c:v>88.290673249250005</c:v>
                </c:pt>
                <c:pt idx="14">
                  <c:v>88.290673249250005</c:v>
                </c:pt>
                <c:pt idx="15">
                  <c:v>88.290673249250005</c:v>
                </c:pt>
                <c:pt idx="16">
                  <c:v>88.290673249250005</c:v>
                </c:pt>
                <c:pt idx="17">
                  <c:v>88.290673249250005</c:v>
                </c:pt>
                <c:pt idx="18">
                  <c:v>88.290673249250005</c:v>
                </c:pt>
                <c:pt idx="19">
                  <c:v>88.290673249250005</c:v>
                </c:pt>
                <c:pt idx="20">
                  <c:v>107.897317289735</c:v>
                </c:pt>
                <c:pt idx="21">
                  <c:v>107.906186636082</c:v>
                </c:pt>
                <c:pt idx="22">
                  <c:v>107.89297927537</c:v>
                </c:pt>
                <c:pt idx="23">
                  <c:v>107.904744578109</c:v>
                </c:pt>
                <c:pt idx="24">
                  <c:v>107.909649516258</c:v>
                </c:pt>
                <c:pt idx="25">
                  <c:v>107.917972746147</c:v>
                </c:pt>
                <c:pt idx="26">
                  <c:v>107.89778504525501</c:v>
                </c:pt>
                <c:pt idx="27">
                  <c:v>107.89741288945</c:v>
                </c:pt>
                <c:pt idx="28">
                  <c:v>107.898864911687</c:v>
                </c:pt>
                <c:pt idx="29">
                  <c:v>107.9070223758</c:v>
                </c:pt>
                <c:pt idx="30">
                  <c:v>107.913974770249</c:v>
                </c:pt>
                <c:pt idx="31">
                  <c:v>107.914371140436</c:v>
                </c:pt>
                <c:pt idx="32">
                  <c:v>107.92422021295</c:v>
                </c:pt>
                <c:pt idx="33">
                  <c:v>107.912029309381</c:v>
                </c:pt>
                <c:pt idx="34">
                  <c:v>107.92082048166399</c:v>
                </c:pt>
                <c:pt idx="35">
                  <c:v>107.900078242305</c:v>
                </c:pt>
                <c:pt idx="36">
                  <c:v>107.913791530678</c:v>
                </c:pt>
                <c:pt idx="37">
                  <c:v>107.916041492056</c:v>
                </c:pt>
                <c:pt idx="38">
                  <c:v>107.91782306551301</c:v>
                </c:pt>
                <c:pt idx="39">
                  <c:v>107.923349322584</c:v>
                </c:pt>
                <c:pt idx="40">
                  <c:v>107.91426274270999</c:v>
                </c:pt>
                <c:pt idx="41">
                  <c:v>107.92035169374201</c:v>
                </c:pt>
                <c:pt idx="42">
                  <c:v>107.918285869101</c:v>
                </c:pt>
                <c:pt idx="43">
                  <c:v>107.914471990557</c:v>
                </c:pt>
                <c:pt idx="44">
                  <c:v>107.921471887264</c:v>
                </c:pt>
                <c:pt idx="45">
                  <c:v>107.893129702186</c:v>
                </c:pt>
                <c:pt idx="46">
                  <c:v>107.91352870958499</c:v>
                </c:pt>
                <c:pt idx="47">
                  <c:v>107.915379439028</c:v>
                </c:pt>
                <c:pt idx="48">
                  <c:v>107.91817509278999</c:v>
                </c:pt>
                <c:pt idx="49">
                  <c:v>107.918238268371</c:v>
                </c:pt>
                <c:pt idx="50">
                  <c:v>107.907123500322</c:v>
                </c:pt>
                <c:pt idx="51">
                  <c:v>107.919745613125</c:v>
                </c:pt>
                <c:pt idx="52">
                  <c:v>107.90355029067101</c:v>
                </c:pt>
                <c:pt idx="53">
                  <c:v>107.914306351256</c:v>
                </c:pt>
                <c:pt idx="54">
                  <c:v>107.920248134166</c:v>
                </c:pt>
                <c:pt idx="55">
                  <c:v>107.921846054486</c:v>
                </c:pt>
                <c:pt idx="56">
                  <c:v>107.91175549336999</c:v>
                </c:pt>
                <c:pt idx="57">
                  <c:v>107.920002924286</c:v>
                </c:pt>
                <c:pt idx="58">
                  <c:v>107.905876274657</c:v>
                </c:pt>
                <c:pt idx="59">
                  <c:v>107.926649896988</c:v>
                </c:pt>
                <c:pt idx="60">
                  <c:v>107.912403130859</c:v>
                </c:pt>
                <c:pt idx="61">
                  <c:v>107.90566738699199</c:v>
                </c:pt>
                <c:pt idx="62">
                  <c:v>107.91256248910101</c:v>
                </c:pt>
                <c:pt idx="63">
                  <c:v>107.91435648944299</c:v>
                </c:pt>
                <c:pt idx="64">
                  <c:v>107.905804009652</c:v>
                </c:pt>
                <c:pt idx="65">
                  <c:v>107.916085996894</c:v>
                </c:pt>
                <c:pt idx="66">
                  <c:v>107.904880466405</c:v>
                </c:pt>
                <c:pt idx="67">
                  <c:v>107.906294413227</c:v>
                </c:pt>
                <c:pt idx="68">
                  <c:v>107.91412633143101</c:v>
                </c:pt>
                <c:pt idx="69">
                  <c:v>107.91576674298901</c:v>
                </c:pt>
                <c:pt idx="70">
                  <c:v>107.910112992938</c:v>
                </c:pt>
                <c:pt idx="71">
                  <c:v>107.914757499961</c:v>
                </c:pt>
                <c:pt idx="72">
                  <c:v>107.896418848837</c:v>
                </c:pt>
                <c:pt idx="73">
                  <c:v>107.900885909382</c:v>
                </c:pt>
                <c:pt idx="74">
                  <c:v>107.89346275104801</c:v>
                </c:pt>
                <c:pt idx="75">
                  <c:v>107.91343317026799</c:v>
                </c:pt>
                <c:pt idx="76">
                  <c:v>107.911546295851</c:v>
                </c:pt>
                <c:pt idx="77">
                  <c:v>107.881789914932</c:v>
                </c:pt>
                <c:pt idx="78">
                  <c:v>107.91929374361899</c:v>
                </c:pt>
                <c:pt idx="79">
                  <c:v>107.905599648536</c:v>
                </c:pt>
                <c:pt idx="80">
                  <c:v>107.91213514776101</c:v>
                </c:pt>
                <c:pt idx="81">
                  <c:v>107.909156624245</c:v>
                </c:pt>
                <c:pt idx="82">
                  <c:v>107.895594775383</c:v>
                </c:pt>
                <c:pt idx="83">
                  <c:v>107.91013738499601</c:v>
                </c:pt>
                <c:pt idx="84">
                  <c:v>107.906816945519</c:v>
                </c:pt>
                <c:pt idx="85">
                  <c:v>107.89690497444499</c:v>
                </c:pt>
                <c:pt idx="86">
                  <c:v>107.901120210998</c:v>
                </c:pt>
                <c:pt idx="87">
                  <c:v>107.907713609144</c:v>
                </c:pt>
                <c:pt idx="88">
                  <c:v>107.910872412884</c:v>
                </c:pt>
                <c:pt idx="89">
                  <c:v>107.894842830388</c:v>
                </c:pt>
                <c:pt idx="90">
                  <c:v>107.896078499206</c:v>
                </c:pt>
                <c:pt idx="91">
                  <c:v>107.88822788574799</c:v>
                </c:pt>
                <c:pt idx="92">
                  <c:v>107.903598514603</c:v>
                </c:pt>
                <c:pt idx="93">
                  <c:v>107.91231491725701</c:v>
                </c:pt>
                <c:pt idx="94">
                  <c:v>107.910496826824</c:v>
                </c:pt>
                <c:pt idx="95">
                  <c:v>88.290673249250005</c:v>
                </c:pt>
                <c:pt idx="96">
                  <c:v>88.290673249250005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86-4EDE-AB31-C494AC70B30F}"/>
            </c:ext>
          </c:extLst>
        </c:ser>
        <c:ser>
          <c:idx val="1"/>
          <c:order val="1"/>
          <c:tx>
            <c:v>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</c:numCache>
            </c:numRef>
          </c:xVal>
          <c:yVal>
            <c:numRef>
              <c:f>Arkusz1!$H$2:$H$186</c:f>
              <c:numCache>
                <c:formatCode>General</c:formatCode>
                <c:ptCount val="185"/>
                <c:pt idx="0">
                  <c:v>22.452000000000002</c:v>
                </c:pt>
                <c:pt idx="1">
                  <c:v>22.788</c:v>
                </c:pt>
                <c:pt idx="2">
                  <c:v>15.435</c:v>
                </c:pt>
                <c:pt idx="3">
                  <c:v>20.122</c:v>
                </c:pt>
                <c:pt idx="4">
                  <c:v>28.341000000000001</c:v>
                </c:pt>
                <c:pt idx="5">
                  <c:v>21.108000000000001</c:v>
                </c:pt>
                <c:pt idx="6">
                  <c:v>110.786</c:v>
                </c:pt>
                <c:pt idx="7">
                  <c:v>29.294</c:v>
                </c:pt>
                <c:pt idx="8">
                  <c:v>25.224</c:v>
                </c:pt>
                <c:pt idx="9">
                  <c:v>24.843</c:v>
                </c:pt>
                <c:pt idx="10">
                  <c:v>22.498000000000001</c:v>
                </c:pt>
                <c:pt idx="11">
                  <c:v>135.38999999999999</c:v>
                </c:pt>
                <c:pt idx="12">
                  <c:v>16.712</c:v>
                </c:pt>
                <c:pt idx="13">
                  <c:v>29.536999999999999</c:v>
                </c:pt>
                <c:pt idx="14">
                  <c:v>24.538</c:v>
                </c:pt>
                <c:pt idx="15">
                  <c:v>24.097999999999999</c:v>
                </c:pt>
                <c:pt idx="16">
                  <c:v>22.446000000000002</c:v>
                </c:pt>
                <c:pt idx="17">
                  <c:v>21.004000000000001</c:v>
                </c:pt>
                <c:pt idx="18">
                  <c:v>30.536999999999999</c:v>
                </c:pt>
                <c:pt idx="19">
                  <c:v>27.657</c:v>
                </c:pt>
                <c:pt idx="20">
                  <c:v>63.561</c:v>
                </c:pt>
                <c:pt idx="21">
                  <c:v>67.817999999999998</c:v>
                </c:pt>
                <c:pt idx="22">
                  <c:v>70.855999999999995</c:v>
                </c:pt>
                <c:pt idx="23">
                  <c:v>57.874000000000002</c:v>
                </c:pt>
                <c:pt idx="24">
                  <c:v>61.195</c:v>
                </c:pt>
                <c:pt idx="25">
                  <c:v>56.151000000000003</c:v>
                </c:pt>
                <c:pt idx="26">
                  <c:v>57.597000000000001</c:v>
                </c:pt>
                <c:pt idx="27">
                  <c:v>61.561</c:v>
                </c:pt>
                <c:pt idx="28">
                  <c:v>59.945</c:v>
                </c:pt>
                <c:pt idx="29">
                  <c:v>57.597000000000001</c:v>
                </c:pt>
                <c:pt idx="30">
                  <c:v>57.92</c:v>
                </c:pt>
                <c:pt idx="31">
                  <c:v>59.2</c:v>
                </c:pt>
                <c:pt idx="32">
                  <c:v>58.26</c:v>
                </c:pt>
                <c:pt idx="33">
                  <c:v>62.625</c:v>
                </c:pt>
                <c:pt idx="34">
                  <c:v>54.713999999999999</c:v>
                </c:pt>
                <c:pt idx="35">
                  <c:v>60.274999999999999</c:v>
                </c:pt>
                <c:pt idx="36">
                  <c:v>61.646000000000001</c:v>
                </c:pt>
                <c:pt idx="37">
                  <c:v>59.323</c:v>
                </c:pt>
                <c:pt idx="38">
                  <c:v>55.411999999999999</c:v>
                </c:pt>
                <c:pt idx="39">
                  <c:v>59.893000000000001</c:v>
                </c:pt>
                <c:pt idx="40">
                  <c:v>56.9</c:v>
                </c:pt>
                <c:pt idx="41">
                  <c:v>60.628</c:v>
                </c:pt>
                <c:pt idx="42">
                  <c:v>58.323999999999998</c:v>
                </c:pt>
                <c:pt idx="43">
                  <c:v>56.725999999999999</c:v>
                </c:pt>
                <c:pt idx="44">
                  <c:v>57.125999999999998</c:v>
                </c:pt>
                <c:pt idx="45">
                  <c:v>63.094999999999999</c:v>
                </c:pt>
                <c:pt idx="46">
                  <c:v>57.386000000000003</c:v>
                </c:pt>
                <c:pt idx="47">
                  <c:v>60.398000000000003</c:v>
                </c:pt>
                <c:pt idx="48">
                  <c:v>58.515999999999998</c:v>
                </c:pt>
                <c:pt idx="49">
                  <c:v>60.387</c:v>
                </c:pt>
                <c:pt idx="50">
                  <c:v>57.744</c:v>
                </c:pt>
                <c:pt idx="51">
                  <c:v>57.622</c:v>
                </c:pt>
                <c:pt idx="52">
                  <c:v>61.448999999999998</c:v>
                </c:pt>
                <c:pt idx="53">
                  <c:v>59.396000000000001</c:v>
                </c:pt>
                <c:pt idx="54">
                  <c:v>61.755000000000003</c:v>
                </c:pt>
                <c:pt idx="55">
                  <c:v>55.634999999999998</c:v>
                </c:pt>
                <c:pt idx="56">
                  <c:v>56.682000000000002</c:v>
                </c:pt>
                <c:pt idx="57">
                  <c:v>57.895000000000003</c:v>
                </c:pt>
                <c:pt idx="58">
                  <c:v>60.31</c:v>
                </c:pt>
                <c:pt idx="59">
                  <c:v>63.646000000000001</c:v>
                </c:pt>
                <c:pt idx="60">
                  <c:v>59.216000000000001</c:v>
                </c:pt>
                <c:pt idx="61">
                  <c:v>57.463000000000001</c:v>
                </c:pt>
                <c:pt idx="62">
                  <c:v>56.27</c:v>
                </c:pt>
                <c:pt idx="63">
                  <c:v>55.923000000000002</c:v>
                </c:pt>
                <c:pt idx="64">
                  <c:v>60.482999999999997</c:v>
                </c:pt>
                <c:pt idx="65">
                  <c:v>57.442</c:v>
                </c:pt>
                <c:pt idx="66">
                  <c:v>58.512999999999998</c:v>
                </c:pt>
                <c:pt idx="67">
                  <c:v>55.695</c:v>
                </c:pt>
                <c:pt idx="68">
                  <c:v>56.271000000000001</c:v>
                </c:pt>
                <c:pt idx="69">
                  <c:v>60.640999999999998</c:v>
                </c:pt>
                <c:pt idx="70">
                  <c:v>56.649000000000001</c:v>
                </c:pt>
                <c:pt idx="71">
                  <c:v>57.972999999999999</c:v>
                </c:pt>
                <c:pt idx="72">
                  <c:v>60.728000000000002</c:v>
                </c:pt>
                <c:pt idx="73">
                  <c:v>58.234000000000002</c:v>
                </c:pt>
                <c:pt idx="74">
                  <c:v>63.765999999999998</c:v>
                </c:pt>
                <c:pt idx="75">
                  <c:v>57.341999999999999</c:v>
                </c:pt>
                <c:pt idx="76">
                  <c:v>58.143000000000001</c:v>
                </c:pt>
                <c:pt idx="77">
                  <c:v>61.426000000000002</c:v>
                </c:pt>
                <c:pt idx="78">
                  <c:v>60.689</c:v>
                </c:pt>
                <c:pt idx="79">
                  <c:v>62.069000000000003</c:v>
                </c:pt>
                <c:pt idx="80">
                  <c:v>59.054000000000002</c:v>
                </c:pt>
                <c:pt idx="81">
                  <c:v>57.878999999999998</c:v>
                </c:pt>
                <c:pt idx="82">
                  <c:v>60.573</c:v>
                </c:pt>
                <c:pt idx="83">
                  <c:v>60.661000000000001</c:v>
                </c:pt>
                <c:pt idx="84">
                  <c:v>65.665999999999997</c:v>
                </c:pt>
                <c:pt idx="85">
                  <c:v>55.856000000000002</c:v>
                </c:pt>
                <c:pt idx="86">
                  <c:v>56.268000000000001</c:v>
                </c:pt>
                <c:pt idx="87">
                  <c:v>57.844000000000001</c:v>
                </c:pt>
                <c:pt idx="88">
                  <c:v>57.646000000000001</c:v>
                </c:pt>
                <c:pt idx="89">
                  <c:v>63.357999999999997</c:v>
                </c:pt>
                <c:pt idx="90">
                  <c:v>56.703000000000003</c:v>
                </c:pt>
                <c:pt idx="91">
                  <c:v>59.008000000000003</c:v>
                </c:pt>
                <c:pt idx="92">
                  <c:v>56.454999999999998</c:v>
                </c:pt>
                <c:pt idx="93">
                  <c:v>58.62</c:v>
                </c:pt>
                <c:pt idx="94">
                  <c:v>58.02</c:v>
                </c:pt>
                <c:pt idx="95">
                  <c:v>39.575000000000003</c:v>
                </c:pt>
                <c:pt idx="96">
                  <c:v>19.050999999999998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86-4EDE-AB31-C494AC70B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27952"/>
        <c:axId val="194528432"/>
      </c:scatterChart>
      <c:valAx>
        <c:axId val="19452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28432"/>
        <c:crosses val="autoZero"/>
        <c:crossBetween val="midCat"/>
      </c:valAx>
      <c:valAx>
        <c:axId val="19452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27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588917</xdr:colOff>
      <xdr:row>8</xdr:row>
      <xdr:rowOff>136390</xdr:rowOff>
    </xdr:from>
    <xdr:to>
      <xdr:col>23</xdr:col>
      <xdr:colOff>235002</xdr:colOff>
      <xdr:row>38</xdr:row>
      <xdr:rowOff>125505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16D035B-D10D-41D2-AFC3-994BA983D6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4"/>
  <sheetViews>
    <sheetView tabSelected="1" zoomScale="85" zoomScaleNormal="85" workbookViewId="0">
      <selection activeCell="T2" sqref="T2"/>
    </sheetView>
  </sheetViews>
  <sheetFormatPr defaultRowHeight="14.4" x14ac:dyDescent="0.3"/>
  <cols>
    <col min="21" max="21" width="12.44140625" bestFit="1" customWidth="1"/>
    <col min="22" max="22" width="11.88671875" bestFit="1" customWidth="1"/>
    <col min="23" max="23" width="14" bestFit="1" customWidth="1"/>
    <col min="24" max="24" width="13" bestFit="1" customWidth="1"/>
  </cols>
  <sheetData>
    <row r="1" spans="1:24" x14ac:dyDescent="0.3">
      <c r="A1" t="s">
        <v>17</v>
      </c>
      <c r="B1" t="s">
        <v>16</v>
      </c>
      <c r="C1" t="s">
        <v>15</v>
      </c>
      <c r="D1" t="s">
        <v>14</v>
      </c>
      <c r="E1" t="s">
        <v>13</v>
      </c>
      <c r="F1" t="s">
        <v>12</v>
      </c>
      <c r="G1" t="s">
        <v>11</v>
      </c>
      <c r="H1" t="s">
        <v>10</v>
      </c>
      <c r="I1" t="s">
        <v>9</v>
      </c>
      <c r="J1" t="s">
        <v>8</v>
      </c>
      <c r="K1" t="s">
        <v>7</v>
      </c>
      <c r="L1" t="s">
        <v>6</v>
      </c>
      <c r="M1" t="s">
        <v>5</v>
      </c>
      <c r="N1" t="s">
        <v>4</v>
      </c>
      <c r="O1" t="s">
        <v>3</v>
      </c>
      <c r="P1" t="s">
        <v>2</v>
      </c>
      <c r="Q1" t="s">
        <v>1</v>
      </c>
      <c r="R1" t="s">
        <v>0</v>
      </c>
      <c r="T1" t="s">
        <v>122</v>
      </c>
      <c r="U1" t="s">
        <v>123</v>
      </c>
      <c r="V1" t="s">
        <v>124</v>
      </c>
      <c r="W1" t="s">
        <v>125</v>
      </c>
      <c r="X1" t="s">
        <v>126</v>
      </c>
    </row>
    <row r="2" spans="1:24" x14ac:dyDescent="0.3">
      <c r="A2">
        <v>1</v>
      </c>
      <c r="B2">
        <v>1</v>
      </c>
      <c r="C2">
        <v>1769509035</v>
      </c>
      <c r="D2">
        <v>1769509123.2906699</v>
      </c>
      <c r="E2">
        <v>88.290673249250005</v>
      </c>
      <c r="F2">
        <v>1769509035</v>
      </c>
      <c r="G2">
        <v>1769509057</v>
      </c>
      <c r="H2">
        <v>22.452000000000002</v>
      </c>
      <c r="I2">
        <v>65.838673249249993</v>
      </c>
      <c r="J2">
        <v>65.838673249249993</v>
      </c>
      <c r="K2">
        <v>118.90389010398199</v>
      </c>
      <c r="L2">
        <v>66.290673255920396</v>
      </c>
      <c r="M2">
        <v>66.290673255920396</v>
      </c>
      <c r="N2" s="3">
        <v>3.7462748072390901E-6</v>
      </c>
      <c r="O2" s="2">
        <v>46049.42864583333</v>
      </c>
      <c r="P2" s="2">
        <v>46049.429667719909</v>
      </c>
      <c r="Q2" s="1" t="s">
        <v>18</v>
      </c>
      <c r="R2" s="1" t="s">
        <v>19</v>
      </c>
      <c r="T2">
        <f>H2-E2</f>
        <v>-65.838673249250007</v>
      </c>
      <c r="U2">
        <f>AVERAGE(T2:T98)</f>
        <v>-50.088298000367374</v>
      </c>
      <c r="V2">
        <f>MEDIAN(T2:T98)</f>
        <v>-50.025002924285992</v>
      </c>
      <c r="W2">
        <f>COUNTIF(T2:T98,"&lt;0")/COUNT(T2:T98)</f>
        <v>0.97938144329896903</v>
      </c>
      <c r="X2">
        <f>COUNTIF(T2:T98,"&gt;0")/COUNT(T2:T98)</f>
        <v>2.0618556701030927E-2</v>
      </c>
    </row>
    <row r="3" spans="1:24" x14ac:dyDescent="0.3">
      <c r="A3">
        <v>2</v>
      </c>
      <c r="B3">
        <v>2</v>
      </c>
      <c r="C3">
        <v>1769509035</v>
      </c>
      <c r="D3">
        <v>1769509123.2906699</v>
      </c>
      <c r="E3">
        <v>88.290673249250005</v>
      </c>
      <c r="F3">
        <v>1769509035</v>
      </c>
      <c r="G3">
        <v>1769509057</v>
      </c>
      <c r="H3">
        <v>22.788</v>
      </c>
      <c r="I3">
        <v>65.502673249250094</v>
      </c>
      <c r="J3">
        <v>65.502673249250094</v>
      </c>
      <c r="K3">
        <v>117.939243120537</v>
      </c>
      <c r="L3">
        <v>66.290673255920396</v>
      </c>
      <c r="M3">
        <v>66.290673255920396</v>
      </c>
      <c r="N3" s="3">
        <v>3.7462748072390901E-6</v>
      </c>
      <c r="O3" s="2">
        <v>46049.42864583333</v>
      </c>
      <c r="P3" s="2">
        <v>46049.429667719909</v>
      </c>
      <c r="Q3" s="1" t="s">
        <v>18</v>
      </c>
      <c r="R3" s="1" t="s">
        <v>19</v>
      </c>
      <c r="T3">
        <f t="shared" ref="T3:T66" si="0">H3-E3</f>
        <v>-65.502673249250009</v>
      </c>
    </row>
    <row r="4" spans="1:24" x14ac:dyDescent="0.3">
      <c r="A4">
        <v>3</v>
      </c>
      <c r="B4">
        <v>3</v>
      </c>
      <c r="C4">
        <v>1769509035</v>
      </c>
      <c r="D4">
        <v>1769509123.2906699</v>
      </c>
      <c r="E4">
        <v>88.290673249250005</v>
      </c>
      <c r="F4">
        <v>1769509035</v>
      </c>
      <c r="G4">
        <v>1769509050</v>
      </c>
      <c r="H4">
        <v>15.435</v>
      </c>
      <c r="I4">
        <v>72.855673249250003</v>
      </c>
      <c r="J4">
        <v>72.855673249250003</v>
      </c>
      <c r="K4">
        <v>140.47760977010901</v>
      </c>
      <c r="L4">
        <v>73.290673255920396</v>
      </c>
      <c r="M4">
        <v>73.290673255920396</v>
      </c>
      <c r="N4" s="3">
        <v>4.1418647583701301E-6</v>
      </c>
      <c r="O4" s="2">
        <v>46049.42864583333</v>
      </c>
      <c r="P4" s="2">
        <v>46049.429667719909</v>
      </c>
      <c r="Q4" s="1" t="s">
        <v>18</v>
      </c>
      <c r="R4" s="1" t="s">
        <v>20</v>
      </c>
      <c r="T4">
        <f t="shared" si="0"/>
        <v>-72.855673249250003</v>
      </c>
    </row>
    <row r="5" spans="1:24" x14ac:dyDescent="0.3">
      <c r="A5">
        <v>4</v>
      </c>
      <c r="B5">
        <v>4</v>
      </c>
      <c r="C5">
        <v>1769509035</v>
      </c>
      <c r="D5">
        <v>1769509123.2906699</v>
      </c>
      <c r="E5">
        <v>88.290673249250005</v>
      </c>
      <c r="F5">
        <v>1769509037</v>
      </c>
      <c r="G5">
        <v>1769509057</v>
      </c>
      <c r="H5">
        <v>20.122</v>
      </c>
      <c r="I5">
        <v>68.168673249250006</v>
      </c>
      <c r="J5">
        <v>68.168673249250006</v>
      </c>
      <c r="K5">
        <v>125.75775729194299</v>
      </c>
      <c r="L5">
        <v>66.290673255920396</v>
      </c>
      <c r="M5">
        <v>66.290673255920396</v>
      </c>
      <c r="N5" s="3">
        <v>3.7462748072390901E-6</v>
      </c>
      <c r="O5" s="2">
        <v>46049.42864583333</v>
      </c>
      <c r="P5" s="2">
        <v>46049.429667719909</v>
      </c>
      <c r="Q5" s="1" t="s">
        <v>21</v>
      </c>
      <c r="R5" s="1" t="s">
        <v>19</v>
      </c>
      <c r="T5">
        <f t="shared" si="0"/>
        <v>-68.168673249250006</v>
      </c>
    </row>
    <row r="6" spans="1:24" x14ac:dyDescent="0.3">
      <c r="A6">
        <v>5</v>
      </c>
      <c r="B6">
        <v>5</v>
      </c>
      <c r="C6">
        <v>1769509035</v>
      </c>
      <c r="D6">
        <v>1769509123.2906699</v>
      </c>
      <c r="E6">
        <v>88.290673249250005</v>
      </c>
      <c r="F6">
        <v>1769509038</v>
      </c>
      <c r="G6">
        <v>1769509066</v>
      </c>
      <c r="H6">
        <v>28.341000000000001</v>
      </c>
      <c r="I6">
        <v>59.949673249249997</v>
      </c>
      <c r="J6">
        <v>59.949673249249997</v>
      </c>
      <c r="K6">
        <v>102.801703137934</v>
      </c>
      <c r="L6">
        <v>57.290673255920403</v>
      </c>
      <c r="M6">
        <v>57.290673255920403</v>
      </c>
      <c r="N6" s="3">
        <v>3.23765915808436E-6</v>
      </c>
      <c r="O6" s="2">
        <v>46049.42864583333</v>
      </c>
      <c r="P6" s="2">
        <v>46049.429667719909</v>
      </c>
      <c r="Q6" s="1" t="s">
        <v>22</v>
      </c>
      <c r="R6" s="1" t="s">
        <v>23</v>
      </c>
      <c r="T6">
        <f t="shared" si="0"/>
        <v>-59.949673249250004</v>
      </c>
    </row>
    <row r="7" spans="1:24" x14ac:dyDescent="0.3">
      <c r="A7">
        <v>6</v>
      </c>
      <c r="B7">
        <v>1</v>
      </c>
      <c r="C7">
        <v>1769509123.2906699</v>
      </c>
      <c r="D7">
        <v>1769509211.5813401</v>
      </c>
      <c r="E7">
        <v>88.290673249250005</v>
      </c>
      <c r="F7">
        <v>1769509049</v>
      </c>
      <c r="G7">
        <v>1769509070</v>
      </c>
      <c r="H7">
        <v>21.108000000000001</v>
      </c>
      <c r="I7">
        <v>67.182673249250001</v>
      </c>
      <c r="J7">
        <v>67.182673249250001</v>
      </c>
      <c r="K7">
        <v>122.821733123185</v>
      </c>
      <c r="L7">
        <v>141.58134651184</v>
      </c>
      <c r="M7">
        <v>141.58134651184</v>
      </c>
      <c r="N7" s="3">
        <v>8.00116502639696E-6</v>
      </c>
      <c r="O7" s="2">
        <v>46049.429667719909</v>
      </c>
      <c r="P7" s="2">
        <v>46049.430689594905</v>
      </c>
      <c r="Q7" s="1" t="s">
        <v>24</v>
      </c>
      <c r="R7" s="1" t="s">
        <v>25</v>
      </c>
      <c r="T7">
        <f t="shared" si="0"/>
        <v>-67.182673249250001</v>
      </c>
    </row>
    <row r="8" spans="1:24" x14ac:dyDescent="0.3">
      <c r="A8">
        <v>7</v>
      </c>
      <c r="B8">
        <v>2</v>
      </c>
      <c r="C8">
        <v>1769509123.2906699</v>
      </c>
      <c r="D8">
        <v>1769509211.5813401</v>
      </c>
      <c r="E8">
        <v>88.290673249250005</v>
      </c>
      <c r="F8">
        <v>1769509057</v>
      </c>
      <c r="G8">
        <v>1769509168</v>
      </c>
      <c r="H8">
        <v>110.786</v>
      </c>
      <c r="I8">
        <v>-22.4953267507499</v>
      </c>
      <c r="J8">
        <v>22.4953267507499</v>
      </c>
      <c r="K8">
        <v>22.599661109049201</v>
      </c>
      <c r="L8">
        <v>43.581346511840799</v>
      </c>
      <c r="M8">
        <v>43.581346511840799</v>
      </c>
      <c r="N8" s="3">
        <v>2.4629059155661299E-6</v>
      </c>
      <c r="O8" s="2">
        <v>46049.429667719909</v>
      </c>
      <c r="P8" s="2">
        <v>46049.430689594905</v>
      </c>
      <c r="Q8" s="1" t="s">
        <v>19</v>
      </c>
      <c r="R8" s="1" t="s">
        <v>26</v>
      </c>
      <c r="T8">
        <f t="shared" si="0"/>
        <v>22.495326750749996</v>
      </c>
    </row>
    <row r="9" spans="1:24" x14ac:dyDescent="0.3">
      <c r="A9">
        <v>8</v>
      </c>
      <c r="B9">
        <v>3</v>
      </c>
      <c r="C9">
        <v>1769509123.2906699</v>
      </c>
      <c r="D9">
        <v>1769509211.5813401</v>
      </c>
      <c r="E9">
        <v>88.290673249250005</v>
      </c>
      <c r="F9">
        <v>1769509057</v>
      </c>
      <c r="G9">
        <v>1769509087</v>
      </c>
      <c r="H9">
        <v>29.294</v>
      </c>
      <c r="I9">
        <v>58.996673249250001</v>
      </c>
      <c r="J9">
        <v>58.996673249250001</v>
      </c>
      <c r="K9">
        <v>100.347556563246</v>
      </c>
      <c r="L9">
        <v>124.58134651184</v>
      </c>
      <c r="M9">
        <v>124.58134651184</v>
      </c>
      <c r="N9" s="3">
        <v>7.0404465872233796E-6</v>
      </c>
      <c r="O9" s="2">
        <v>46049.429667719909</v>
      </c>
      <c r="P9" s="2">
        <v>46049.430689594905</v>
      </c>
      <c r="Q9" s="1" t="s">
        <v>19</v>
      </c>
      <c r="R9" s="1" t="s">
        <v>27</v>
      </c>
      <c r="T9">
        <f t="shared" si="0"/>
        <v>-58.996673249250009</v>
      </c>
    </row>
    <row r="10" spans="1:24" x14ac:dyDescent="0.3">
      <c r="A10">
        <v>9</v>
      </c>
      <c r="B10">
        <v>4</v>
      </c>
      <c r="C10">
        <v>1769509123.2906699</v>
      </c>
      <c r="D10">
        <v>1769509211.5813401</v>
      </c>
      <c r="E10">
        <v>88.290673249250005</v>
      </c>
      <c r="F10">
        <v>1769509057</v>
      </c>
      <c r="G10">
        <v>1769509082</v>
      </c>
      <c r="H10">
        <v>25.224</v>
      </c>
      <c r="I10">
        <v>63.066673249250002</v>
      </c>
      <c r="J10">
        <v>63.066673249250002</v>
      </c>
      <c r="K10">
        <v>111.116336670892</v>
      </c>
      <c r="L10">
        <v>129.58134651184</v>
      </c>
      <c r="M10">
        <v>129.58134651184</v>
      </c>
      <c r="N10" s="3">
        <v>7.3230108330810304E-6</v>
      </c>
      <c r="O10" s="2">
        <v>46049.429667719909</v>
      </c>
      <c r="P10" s="2">
        <v>46049.430689594905</v>
      </c>
      <c r="Q10" s="1" t="s">
        <v>19</v>
      </c>
      <c r="R10" s="1" t="s">
        <v>28</v>
      </c>
      <c r="T10">
        <f t="shared" si="0"/>
        <v>-63.066673249250002</v>
      </c>
    </row>
    <row r="11" spans="1:24" x14ac:dyDescent="0.3">
      <c r="A11">
        <v>10</v>
      </c>
      <c r="B11">
        <v>5</v>
      </c>
      <c r="C11">
        <v>1769509123.2906699</v>
      </c>
      <c r="D11">
        <v>1769509211.5813401</v>
      </c>
      <c r="E11">
        <v>88.290673249250005</v>
      </c>
      <c r="F11">
        <v>1769509066</v>
      </c>
      <c r="G11">
        <v>1769509091</v>
      </c>
      <c r="H11">
        <v>24.843</v>
      </c>
      <c r="I11">
        <v>63.447673249250002</v>
      </c>
      <c r="J11">
        <v>63.447673249250002</v>
      </c>
      <c r="K11">
        <v>112.164082411547</v>
      </c>
      <c r="L11">
        <v>120.58134651184</v>
      </c>
      <c r="M11">
        <v>120.58134651184</v>
      </c>
      <c r="N11" s="3">
        <v>6.8143951911121298E-6</v>
      </c>
      <c r="O11" s="2">
        <v>46049.429667719909</v>
      </c>
      <c r="P11" s="2">
        <v>46049.430689594905</v>
      </c>
      <c r="Q11" s="1" t="s">
        <v>23</v>
      </c>
      <c r="R11" s="1" t="s">
        <v>29</v>
      </c>
      <c r="T11">
        <f t="shared" si="0"/>
        <v>-63.447673249250002</v>
      </c>
    </row>
    <row r="12" spans="1:24" x14ac:dyDescent="0.3">
      <c r="A12">
        <v>11</v>
      </c>
      <c r="B12">
        <v>1</v>
      </c>
      <c r="C12">
        <v>1769509211.5813401</v>
      </c>
      <c r="D12">
        <v>1769509299.87201</v>
      </c>
      <c r="E12">
        <v>88.290673249250005</v>
      </c>
      <c r="F12">
        <v>1769509268</v>
      </c>
      <c r="G12">
        <v>1769509290</v>
      </c>
      <c r="H12">
        <v>22.498000000000001</v>
      </c>
      <c r="I12">
        <v>65.792673249250001</v>
      </c>
      <c r="J12">
        <v>65.792673249250001</v>
      </c>
      <c r="K12">
        <v>118.771479646174</v>
      </c>
      <c r="L12">
        <v>9.8720197677612305</v>
      </c>
      <c r="M12">
        <v>9.8720197677612305</v>
      </c>
      <c r="N12" s="3">
        <v>5.5789589780697997E-7</v>
      </c>
      <c r="O12" s="2">
        <v>46049.430689594905</v>
      </c>
      <c r="P12" s="2">
        <v>46049.431711481484</v>
      </c>
      <c r="Q12" s="1" t="s">
        <v>30</v>
      </c>
      <c r="R12" s="1" t="s">
        <v>31</v>
      </c>
      <c r="T12">
        <f t="shared" si="0"/>
        <v>-65.792673249250001</v>
      </c>
    </row>
    <row r="13" spans="1:24" x14ac:dyDescent="0.3">
      <c r="A13">
        <v>12</v>
      </c>
      <c r="B13">
        <v>2</v>
      </c>
      <c r="C13">
        <v>1769509211.5813401</v>
      </c>
      <c r="D13">
        <v>1769509299.87201</v>
      </c>
      <c r="E13">
        <v>88.290673249250005</v>
      </c>
      <c r="F13">
        <v>1769509268</v>
      </c>
      <c r="G13">
        <v>1769509403</v>
      </c>
      <c r="H13">
        <v>135.38999999999999</v>
      </c>
      <c r="I13">
        <v>-47.099326750749803</v>
      </c>
      <c r="J13">
        <v>47.099326750749803</v>
      </c>
      <c r="K13">
        <v>42.113005175254003</v>
      </c>
      <c r="L13">
        <v>-103.127980232238</v>
      </c>
      <c r="M13">
        <v>103.127980232238</v>
      </c>
      <c r="N13" s="3">
        <v>5.8280551130485497E-6</v>
      </c>
      <c r="O13" s="2">
        <v>46049.430689594905</v>
      </c>
      <c r="P13" s="2">
        <v>46049.431711481484</v>
      </c>
      <c r="Q13" s="1" t="s">
        <v>30</v>
      </c>
      <c r="R13" s="1" t="s">
        <v>32</v>
      </c>
      <c r="T13">
        <f t="shared" si="0"/>
        <v>47.099326750749981</v>
      </c>
    </row>
    <row r="14" spans="1:24" x14ac:dyDescent="0.3">
      <c r="A14">
        <v>13</v>
      </c>
      <c r="B14">
        <v>3</v>
      </c>
      <c r="C14">
        <v>1769509211.5813401</v>
      </c>
      <c r="D14">
        <v>1769509299.87201</v>
      </c>
      <c r="E14">
        <v>88.290673249250005</v>
      </c>
      <c r="F14">
        <v>1769509268</v>
      </c>
      <c r="G14">
        <v>1769509285</v>
      </c>
      <c r="H14">
        <v>16.712</v>
      </c>
      <c r="I14">
        <v>71.578673249250002</v>
      </c>
      <c r="J14">
        <v>71.578673249250002</v>
      </c>
      <c r="K14">
        <v>136.33685892803899</v>
      </c>
      <c r="L14">
        <v>14.8720197677612</v>
      </c>
      <c r="M14">
        <v>14.8720197677612</v>
      </c>
      <c r="N14" s="3">
        <v>8.4046011124855597E-7</v>
      </c>
      <c r="O14" s="2">
        <v>46049.430689594905</v>
      </c>
      <c r="P14" s="2">
        <v>46049.431711481484</v>
      </c>
      <c r="Q14" s="1" t="s">
        <v>30</v>
      </c>
      <c r="R14" s="1" t="s">
        <v>33</v>
      </c>
      <c r="T14">
        <f t="shared" si="0"/>
        <v>-71.578673249250002</v>
      </c>
    </row>
    <row r="15" spans="1:24" x14ac:dyDescent="0.3">
      <c r="A15">
        <v>14</v>
      </c>
      <c r="B15">
        <v>4</v>
      </c>
      <c r="C15">
        <v>1769509211.5813401</v>
      </c>
      <c r="D15">
        <v>1769509299.87201</v>
      </c>
      <c r="E15">
        <v>88.290673249250005</v>
      </c>
      <c r="F15">
        <v>1769509269</v>
      </c>
      <c r="G15">
        <v>1769509299</v>
      </c>
      <c r="H15">
        <v>29.536999999999999</v>
      </c>
      <c r="I15">
        <v>58.753673249249999</v>
      </c>
      <c r="J15">
        <v>58.753673249249999</v>
      </c>
      <c r="K15">
        <v>99.728139628054606</v>
      </c>
      <c r="L15">
        <v>0.87201976776123002</v>
      </c>
      <c r="M15">
        <v>0.87201976776123002</v>
      </c>
      <c r="N15" s="3">
        <v>4.9280315624176997E-8</v>
      </c>
      <c r="O15" s="2">
        <v>46049.430689594905</v>
      </c>
      <c r="P15" s="2">
        <v>46049.431711481484</v>
      </c>
      <c r="Q15" s="1" t="s">
        <v>34</v>
      </c>
      <c r="R15" s="1" t="s">
        <v>35</v>
      </c>
      <c r="T15">
        <f t="shared" si="0"/>
        <v>-58.753673249250006</v>
      </c>
    </row>
    <row r="16" spans="1:24" x14ac:dyDescent="0.3">
      <c r="A16">
        <v>15</v>
      </c>
      <c r="B16">
        <v>5</v>
      </c>
      <c r="C16">
        <v>1769509211.5813401</v>
      </c>
      <c r="D16">
        <v>1769509299.87201</v>
      </c>
      <c r="E16">
        <v>88.290673249250005</v>
      </c>
      <c r="F16">
        <v>1769509269</v>
      </c>
      <c r="G16">
        <v>1769509294</v>
      </c>
      <c r="H16">
        <v>24.538</v>
      </c>
      <c r="I16">
        <v>63.752673249250002</v>
      </c>
      <c r="J16">
        <v>63.752673249250002</v>
      </c>
      <c r="K16">
        <v>113.007928593494</v>
      </c>
      <c r="L16">
        <v>5.8720197677612296</v>
      </c>
      <c r="M16">
        <v>5.8720197677612296</v>
      </c>
      <c r="N16" s="3">
        <v>3.31844527628586E-7</v>
      </c>
      <c r="O16" s="2">
        <v>46049.430689594905</v>
      </c>
      <c r="P16" s="2">
        <v>46049.431711481484</v>
      </c>
      <c r="Q16" s="1" t="s">
        <v>34</v>
      </c>
      <c r="R16" s="1" t="s">
        <v>36</v>
      </c>
      <c r="T16">
        <f t="shared" si="0"/>
        <v>-63.752673249250009</v>
      </c>
    </row>
    <row r="17" spans="1:20" x14ac:dyDescent="0.3">
      <c r="A17">
        <v>16</v>
      </c>
      <c r="B17">
        <v>1</v>
      </c>
      <c r="C17">
        <v>1769509299.87201</v>
      </c>
      <c r="D17">
        <v>1769509388.1626899</v>
      </c>
      <c r="E17">
        <v>88.290673249250005</v>
      </c>
      <c r="F17">
        <v>1769509284</v>
      </c>
      <c r="G17">
        <v>1769509308</v>
      </c>
      <c r="H17">
        <v>24.097999999999999</v>
      </c>
      <c r="I17">
        <v>64.192673249250007</v>
      </c>
      <c r="J17">
        <v>64.192673249250007</v>
      </c>
      <c r="K17">
        <v>114.233350022536</v>
      </c>
      <c r="L17">
        <v>80.162693023681598</v>
      </c>
      <c r="M17">
        <v>80.162693023681598</v>
      </c>
      <c r="N17" s="3">
        <v>4.5302215052212499E-6</v>
      </c>
      <c r="O17" s="2">
        <v>46049.431711481484</v>
      </c>
      <c r="P17" s="2">
        <v>46049.432733368056</v>
      </c>
      <c r="Q17" s="1" t="s">
        <v>37</v>
      </c>
      <c r="R17" s="1" t="s">
        <v>38</v>
      </c>
      <c r="T17">
        <f t="shared" si="0"/>
        <v>-64.192673249250007</v>
      </c>
    </row>
    <row r="18" spans="1:20" x14ac:dyDescent="0.3">
      <c r="A18">
        <v>17</v>
      </c>
      <c r="B18">
        <v>2</v>
      </c>
      <c r="C18">
        <v>1769509299.87201</v>
      </c>
      <c r="D18">
        <v>1769509388.1626899</v>
      </c>
      <c r="E18">
        <v>88.290673249250005</v>
      </c>
      <c r="F18">
        <v>1769509290</v>
      </c>
      <c r="G18">
        <v>1769509312</v>
      </c>
      <c r="H18">
        <v>22.446000000000002</v>
      </c>
      <c r="I18">
        <v>65.844673249249993</v>
      </c>
      <c r="J18">
        <v>65.844673249249993</v>
      </c>
      <c r="K18">
        <v>118.921169143386</v>
      </c>
      <c r="L18">
        <v>76.162693023681598</v>
      </c>
      <c r="M18">
        <v>76.162693023681598</v>
      </c>
      <c r="N18" s="3">
        <v>4.3041701373423197E-6</v>
      </c>
      <c r="O18" s="2">
        <v>46049.431711481484</v>
      </c>
      <c r="P18" s="2">
        <v>46049.432733368056</v>
      </c>
      <c r="Q18" s="1" t="s">
        <v>31</v>
      </c>
      <c r="R18" s="1" t="s">
        <v>39</v>
      </c>
      <c r="T18">
        <f t="shared" si="0"/>
        <v>-65.844673249250008</v>
      </c>
    </row>
    <row r="19" spans="1:20" x14ac:dyDescent="0.3">
      <c r="A19">
        <v>18</v>
      </c>
      <c r="B19">
        <v>3</v>
      </c>
      <c r="C19">
        <v>1769509299.87201</v>
      </c>
      <c r="D19">
        <v>1769509388.1626899</v>
      </c>
      <c r="E19">
        <v>88.290673249250005</v>
      </c>
      <c r="F19">
        <v>1769509294</v>
      </c>
      <c r="G19">
        <v>1769509315</v>
      </c>
      <c r="H19">
        <v>21.004000000000001</v>
      </c>
      <c r="I19">
        <v>67.286673249250001</v>
      </c>
      <c r="J19">
        <v>67.286673249250001</v>
      </c>
      <c r="K19">
        <v>123.128916074071</v>
      </c>
      <c r="L19">
        <v>73.162693023681598</v>
      </c>
      <c r="M19">
        <v>73.162693023681598</v>
      </c>
      <c r="N19" s="3">
        <v>4.1346316117684704E-6</v>
      </c>
      <c r="O19" s="2">
        <v>46049.431711481484</v>
      </c>
      <c r="P19" s="2">
        <v>46049.432733368056</v>
      </c>
      <c r="Q19" s="1" t="s">
        <v>36</v>
      </c>
      <c r="R19" s="1" t="s">
        <v>40</v>
      </c>
      <c r="T19">
        <f t="shared" si="0"/>
        <v>-67.286673249250001</v>
      </c>
    </row>
    <row r="20" spans="1:20" x14ac:dyDescent="0.3">
      <c r="A20">
        <v>19</v>
      </c>
      <c r="B20">
        <v>4</v>
      </c>
      <c r="C20">
        <v>1769509299.87201</v>
      </c>
      <c r="D20">
        <v>1769509388.1626899</v>
      </c>
      <c r="E20">
        <v>88.290673249250005</v>
      </c>
      <c r="F20">
        <v>1769509299</v>
      </c>
      <c r="G20">
        <v>1769509329</v>
      </c>
      <c r="H20">
        <v>30.536999999999999</v>
      </c>
      <c r="I20">
        <v>57.753673249249999</v>
      </c>
      <c r="J20">
        <v>57.753673249249999</v>
      </c>
      <c r="K20">
        <v>97.205763051687995</v>
      </c>
      <c r="L20">
        <v>59.162693023681598</v>
      </c>
      <c r="M20">
        <v>59.162693023681598</v>
      </c>
      <c r="N20" s="3">
        <v>3.3434518295576301E-6</v>
      </c>
      <c r="O20" s="2">
        <v>46049.431711481484</v>
      </c>
      <c r="P20" s="2">
        <v>46049.432733368056</v>
      </c>
      <c r="Q20" s="1" t="s">
        <v>35</v>
      </c>
      <c r="R20" s="1" t="s">
        <v>41</v>
      </c>
      <c r="T20">
        <f t="shared" si="0"/>
        <v>-57.753673249250006</v>
      </c>
    </row>
    <row r="21" spans="1:20" x14ac:dyDescent="0.3">
      <c r="A21">
        <v>20</v>
      </c>
      <c r="B21">
        <v>5</v>
      </c>
      <c r="C21">
        <v>1769509299.87201</v>
      </c>
      <c r="D21">
        <v>1769509388.1626899</v>
      </c>
      <c r="E21">
        <v>88.290673249250005</v>
      </c>
      <c r="F21">
        <v>1769509308</v>
      </c>
      <c r="G21">
        <v>1769509335</v>
      </c>
      <c r="H21">
        <v>27.657</v>
      </c>
      <c r="I21">
        <v>60.633673249250002</v>
      </c>
      <c r="J21">
        <v>60.633673249250002</v>
      </c>
      <c r="K21">
        <v>104.587994825747</v>
      </c>
      <c r="L21">
        <v>53.162693023681598</v>
      </c>
      <c r="M21">
        <v>53.162693023681598</v>
      </c>
      <c r="N21" s="3">
        <v>3.0043747819549198E-6</v>
      </c>
      <c r="O21" s="2">
        <v>46049.431711481484</v>
      </c>
      <c r="P21" s="2">
        <v>46049.432733368056</v>
      </c>
      <c r="Q21" s="1" t="s">
        <v>38</v>
      </c>
      <c r="R21" s="1" t="s">
        <v>42</v>
      </c>
      <c r="T21">
        <f t="shared" si="0"/>
        <v>-60.633673249250009</v>
      </c>
    </row>
    <row r="22" spans="1:20" x14ac:dyDescent="0.3">
      <c r="A22">
        <v>21</v>
      </c>
      <c r="B22">
        <v>1</v>
      </c>
      <c r="C22">
        <v>1769509388.1626899</v>
      </c>
      <c r="D22">
        <v>1769509496.06001</v>
      </c>
      <c r="E22">
        <v>107.897317289735</v>
      </c>
      <c r="F22">
        <v>1769509495</v>
      </c>
      <c r="G22">
        <v>1769509558</v>
      </c>
      <c r="H22">
        <v>63.561</v>
      </c>
      <c r="I22">
        <v>44.336317289735199</v>
      </c>
      <c r="J22">
        <v>44.336317289735199</v>
      </c>
      <c r="K22">
        <v>51.716729745824303</v>
      </c>
      <c r="L22">
        <v>-61.939989805221501</v>
      </c>
      <c r="M22">
        <v>61.939989805221501</v>
      </c>
      <c r="N22" s="3">
        <v>3.5004044261453201E-6</v>
      </c>
      <c r="O22" s="2">
        <v>46049.432733368056</v>
      </c>
      <c r="P22" s="2">
        <v>46049.433982175928</v>
      </c>
      <c r="Q22" s="1" t="s">
        <v>43</v>
      </c>
      <c r="R22" s="1" t="s">
        <v>44</v>
      </c>
      <c r="T22">
        <f t="shared" si="0"/>
        <v>-44.336317289735</v>
      </c>
    </row>
    <row r="23" spans="1:20" x14ac:dyDescent="0.3">
      <c r="A23">
        <v>22</v>
      </c>
      <c r="B23">
        <v>2</v>
      </c>
      <c r="C23">
        <v>1769509388.1626899</v>
      </c>
      <c r="D23">
        <v>1769509496.0688701</v>
      </c>
      <c r="E23">
        <v>107.906186636082</v>
      </c>
      <c r="F23">
        <v>1769509495</v>
      </c>
      <c r="G23">
        <v>1769509563</v>
      </c>
      <c r="H23">
        <v>67.817999999999998</v>
      </c>
      <c r="I23">
        <v>40.088186636082703</v>
      </c>
      <c r="J23">
        <v>40.088186636082703</v>
      </c>
      <c r="K23">
        <v>45.626259427910902</v>
      </c>
      <c r="L23">
        <v>-66.9311203956604</v>
      </c>
      <c r="M23">
        <v>66.9311203956604</v>
      </c>
      <c r="N23" s="3">
        <v>3.7824673605046901E-6</v>
      </c>
      <c r="O23" s="2">
        <v>46049.432733368056</v>
      </c>
      <c r="P23" s="2">
        <v>46049.43398228009</v>
      </c>
      <c r="Q23" s="1" t="s">
        <v>43</v>
      </c>
      <c r="R23" s="1" t="s">
        <v>45</v>
      </c>
      <c r="T23">
        <f t="shared" si="0"/>
        <v>-40.088186636082</v>
      </c>
    </row>
    <row r="24" spans="1:20" x14ac:dyDescent="0.3">
      <c r="A24">
        <v>23</v>
      </c>
      <c r="B24">
        <v>3</v>
      </c>
      <c r="C24">
        <v>1769509388.1626899</v>
      </c>
      <c r="D24">
        <v>1769509496.05567</v>
      </c>
      <c r="E24">
        <v>107.89297927537</v>
      </c>
      <c r="F24">
        <v>1769509495</v>
      </c>
      <c r="G24">
        <v>1769509566</v>
      </c>
      <c r="H24">
        <v>70.855999999999995</v>
      </c>
      <c r="I24">
        <v>37.0369792753703</v>
      </c>
      <c r="J24">
        <v>37.0369792753703</v>
      </c>
      <c r="K24">
        <v>41.440213449625702</v>
      </c>
      <c r="L24">
        <v>-69.944327592849703</v>
      </c>
      <c r="M24">
        <v>69.944327592849703</v>
      </c>
      <c r="N24" s="3">
        <v>3.9527522381991301E-6</v>
      </c>
      <c r="O24" s="2">
        <v>46049.432733368056</v>
      </c>
      <c r="P24" s="2">
        <v>46049.433982129631</v>
      </c>
      <c r="Q24" s="1" t="s">
        <v>43</v>
      </c>
      <c r="R24" s="1" t="s">
        <v>46</v>
      </c>
      <c r="T24">
        <f t="shared" si="0"/>
        <v>-37.036979275370001</v>
      </c>
    </row>
    <row r="25" spans="1:20" x14ac:dyDescent="0.3">
      <c r="A25">
        <v>24</v>
      </c>
      <c r="B25">
        <v>4</v>
      </c>
      <c r="C25">
        <v>1769509388.1626899</v>
      </c>
      <c r="D25">
        <v>1769509496.06743</v>
      </c>
      <c r="E25">
        <v>107.904744578109</v>
      </c>
      <c r="F25">
        <v>1769509496</v>
      </c>
      <c r="G25">
        <v>1769509554</v>
      </c>
      <c r="H25">
        <v>57.874000000000002</v>
      </c>
      <c r="I25">
        <v>50.030744578109697</v>
      </c>
      <c r="J25">
        <v>50.030744578109697</v>
      </c>
      <c r="K25">
        <v>60.358455126962099</v>
      </c>
      <c r="L25">
        <v>-57.9325623512268</v>
      </c>
      <c r="M25">
        <v>57.9325623512268</v>
      </c>
      <c r="N25" s="3">
        <v>3.2739333432027001E-6</v>
      </c>
      <c r="O25" s="2">
        <v>46049.432733368056</v>
      </c>
      <c r="P25" s="2">
        <v>46049.433982256945</v>
      </c>
      <c r="Q25" s="1" t="s">
        <v>47</v>
      </c>
      <c r="R25" s="1" t="s">
        <v>48</v>
      </c>
      <c r="T25">
        <f t="shared" si="0"/>
        <v>-50.030744578109001</v>
      </c>
    </row>
    <row r="26" spans="1:20" x14ac:dyDescent="0.3">
      <c r="A26">
        <v>25</v>
      </c>
      <c r="B26">
        <v>5</v>
      </c>
      <c r="C26">
        <v>1769509388.1626899</v>
      </c>
      <c r="D26">
        <v>1769509496.07234</v>
      </c>
      <c r="E26">
        <v>107.909649516258</v>
      </c>
      <c r="F26">
        <v>1769509497</v>
      </c>
      <c r="G26">
        <v>1769509558</v>
      </c>
      <c r="H26">
        <v>61.195</v>
      </c>
      <c r="I26">
        <v>46.714649516258298</v>
      </c>
      <c r="J26">
        <v>46.714649516258298</v>
      </c>
      <c r="K26">
        <v>55.249396926566497</v>
      </c>
      <c r="L26">
        <v>-61.9276573657989</v>
      </c>
      <c r="M26">
        <v>61.9276573657989</v>
      </c>
      <c r="N26" s="3">
        <v>3.4997074850184201E-6</v>
      </c>
      <c r="O26" s="2">
        <v>46049.432733368056</v>
      </c>
      <c r="P26" s="2">
        <v>46049.433982314818</v>
      </c>
      <c r="Q26" s="1" t="s">
        <v>49</v>
      </c>
      <c r="R26" s="1" t="s">
        <v>44</v>
      </c>
      <c r="T26">
        <f t="shared" si="0"/>
        <v>-46.714649516258</v>
      </c>
    </row>
    <row r="27" spans="1:20" x14ac:dyDescent="0.3">
      <c r="A27">
        <v>26</v>
      </c>
      <c r="B27">
        <v>3</v>
      </c>
      <c r="C27">
        <v>1769509496.05567</v>
      </c>
      <c r="D27">
        <v>1769509603.97364</v>
      </c>
      <c r="E27">
        <v>107.917972746147</v>
      </c>
      <c r="F27">
        <v>1769509554</v>
      </c>
      <c r="G27">
        <v>1769509610</v>
      </c>
      <c r="H27">
        <v>56.151000000000003</v>
      </c>
      <c r="I27">
        <v>51.766972746147196</v>
      </c>
      <c r="J27">
        <v>51.766972746147196</v>
      </c>
      <c r="K27">
        <v>63.103915237212703</v>
      </c>
      <c r="L27">
        <v>-6.0263547897338796</v>
      </c>
      <c r="M27">
        <v>6.0263547897338796</v>
      </c>
      <c r="N27" s="3">
        <v>3.4056637872657499E-7</v>
      </c>
      <c r="O27" s="2">
        <v>46049.433982129631</v>
      </c>
      <c r="P27" s="2">
        <v>46049.435231180556</v>
      </c>
      <c r="Q27" s="1" t="s">
        <v>48</v>
      </c>
      <c r="R27" s="1" t="s">
        <v>50</v>
      </c>
      <c r="T27">
        <f t="shared" si="0"/>
        <v>-51.766972746146998</v>
      </c>
    </row>
    <row r="28" spans="1:20" x14ac:dyDescent="0.3">
      <c r="A28">
        <v>27</v>
      </c>
      <c r="B28">
        <v>1</v>
      </c>
      <c r="C28">
        <v>1769509496.06001</v>
      </c>
      <c r="D28">
        <v>1769509603.9577899</v>
      </c>
      <c r="E28">
        <v>107.89778504525501</v>
      </c>
      <c r="F28">
        <v>1769509558</v>
      </c>
      <c r="G28">
        <v>1769509616</v>
      </c>
      <c r="H28">
        <v>57.597000000000001</v>
      </c>
      <c r="I28">
        <v>50.300785045255601</v>
      </c>
      <c r="J28">
        <v>50.300785045255601</v>
      </c>
      <c r="K28">
        <v>60.788362644176999</v>
      </c>
      <c r="L28">
        <v>-12.0422048568725</v>
      </c>
      <c r="M28">
        <v>12.0422048568725</v>
      </c>
      <c r="N28" s="3">
        <v>6.8053910467410001E-7</v>
      </c>
      <c r="O28" s="2">
        <v>46049.433982175928</v>
      </c>
      <c r="P28" s="2">
        <v>46049.435230995368</v>
      </c>
      <c r="Q28" s="1" t="s">
        <v>44</v>
      </c>
      <c r="R28" s="1" t="s">
        <v>51</v>
      </c>
      <c r="T28">
        <f t="shared" si="0"/>
        <v>-50.300785045255004</v>
      </c>
    </row>
    <row r="29" spans="1:20" x14ac:dyDescent="0.3">
      <c r="A29">
        <v>28</v>
      </c>
      <c r="B29">
        <v>4</v>
      </c>
      <c r="C29">
        <v>1769509496.06743</v>
      </c>
      <c r="D29">
        <v>1769509603.9648499</v>
      </c>
      <c r="E29">
        <v>107.89741288945</v>
      </c>
      <c r="F29">
        <v>1769509558</v>
      </c>
      <c r="G29">
        <v>1769509619</v>
      </c>
      <c r="H29">
        <v>61.561</v>
      </c>
      <c r="I29">
        <v>46.336412889450898</v>
      </c>
      <c r="J29">
        <v>46.336412889450898</v>
      </c>
      <c r="K29">
        <v>54.687651205230303</v>
      </c>
      <c r="L29">
        <v>-15.0351495742797</v>
      </c>
      <c r="M29">
        <v>15.0351495742797</v>
      </c>
      <c r="N29" s="3">
        <v>8.4967888711742699E-7</v>
      </c>
      <c r="O29" s="2">
        <v>46049.433982256945</v>
      </c>
      <c r="P29" s="2">
        <v>46049.435231076386</v>
      </c>
      <c r="Q29" s="1" t="s">
        <v>44</v>
      </c>
      <c r="R29" s="1" t="s">
        <v>52</v>
      </c>
      <c r="T29">
        <f t="shared" si="0"/>
        <v>-46.336412889449996</v>
      </c>
    </row>
    <row r="30" spans="1:20" x14ac:dyDescent="0.3">
      <c r="A30">
        <v>29</v>
      </c>
      <c r="B30">
        <v>2</v>
      </c>
      <c r="C30">
        <v>1769509496.0688701</v>
      </c>
      <c r="D30">
        <v>1769509603.9677401</v>
      </c>
      <c r="E30">
        <v>107.898864911687</v>
      </c>
      <c r="F30">
        <v>1769509563</v>
      </c>
      <c r="G30">
        <v>1769509623</v>
      </c>
      <c r="H30">
        <v>59.945</v>
      </c>
      <c r="I30">
        <v>47.953864911687802</v>
      </c>
      <c r="J30">
        <v>47.953864911687802</v>
      </c>
      <c r="K30">
        <v>57.141039902672702</v>
      </c>
      <c r="L30">
        <v>-19.032255411148</v>
      </c>
      <c r="M30">
        <v>19.032255411148</v>
      </c>
      <c r="N30" s="3">
        <v>1.07556665791019E-6</v>
      </c>
      <c r="O30" s="2">
        <v>46049.43398228009</v>
      </c>
      <c r="P30" s="2">
        <v>46049.435231111114</v>
      </c>
      <c r="Q30" s="1" t="s">
        <v>45</v>
      </c>
      <c r="R30" s="1" t="s">
        <v>53</v>
      </c>
      <c r="T30">
        <f t="shared" si="0"/>
        <v>-47.953864911686999</v>
      </c>
    </row>
    <row r="31" spans="1:20" x14ac:dyDescent="0.3">
      <c r="A31">
        <v>30</v>
      </c>
      <c r="B31">
        <v>5</v>
      </c>
      <c r="C31">
        <v>1769509496.07234</v>
      </c>
      <c r="D31">
        <v>1769509603.9793601</v>
      </c>
      <c r="E31">
        <v>107.9070223758</v>
      </c>
      <c r="F31">
        <v>1769509566</v>
      </c>
      <c r="G31">
        <v>1769509623</v>
      </c>
      <c r="H31">
        <v>57.597000000000001</v>
      </c>
      <c r="I31">
        <v>50.310022375800798</v>
      </c>
      <c r="J31">
        <v>50.310022375800798</v>
      </c>
      <c r="K31">
        <v>60.796132509171997</v>
      </c>
      <c r="L31">
        <v>-19.020634889602601</v>
      </c>
      <c r="M31">
        <v>19.020634889602601</v>
      </c>
      <c r="N31" s="3">
        <v>1.0749099493215901E-6</v>
      </c>
      <c r="O31" s="2">
        <v>46049.433982314818</v>
      </c>
      <c r="P31" s="2">
        <v>46049.435231238429</v>
      </c>
      <c r="Q31" s="1" t="s">
        <v>46</v>
      </c>
      <c r="R31" s="1" t="s">
        <v>53</v>
      </c>
      <c r="T31">
        <f t="shared" si="0"/>
        <v>-50.310022375799996</v>
      </c>
    </row>
    <row r="32" spans="1:20" x14ac:dyDescent="0.3">
      <c r="A32">
        <v>31</v>
      </c>
      <c r="B32">
        <v>1</v>
      </c>
      <c r="C32">
        <v>1769509603.9577899</v>
      </c>
      <c r="D32">
        <v>1769509711.8717699</v>
      </c>
      <c r="E32">
        <v>107.913974770249</v>
      </c>
      <c r="F32">
        <v>1769509610</v>
      </c>
      <c r="G32">
        <v>1769509668</v>
      </c>
      <c r="H32">
        <v>57.92</v>
      </c>
      <c r="I32">
        <v>49.9939747702498</v>
      </c>
      <c r="J32">
        <v>49.9939747702498</v>
      </c>
      <c r="K32">
        <v>60.294007714055702</v>
      </c>
      <c r="L32">
        <v>43.871769905090297</v>
      </c>
      <c r="M32">
        <v>43.871769905090297</v>
      </c>
      <c r="N32" s="3">
        <v>2.4793178672381198E-6</v>
      </c>
      <c r="O32" s="2">
        <v>46049.435230995368</v>
      </c>
      <c r="P32" s="2">
        <v>46049.436479999997</v>
      </c>
      <c r="Q32" s="1" t="s">
        <v>50</v>
      </c>
      <c r="R32" s="1" t="s">
        <v>54</v>
      </c>
      <c r="T32">
        <f t="shared" si="0"/>
        <v>-49.993974770248997</v>
      </c>
    </row>
    <row r="33" spans="1:20" x14ac:dyDescent="0.3">
      <c r="A33">
        <v>32</v>
      </c>
      <c r="B33">
        <v>4</v>
      </c>
      <c r="C33">
        <v>1769509603.9648499</v>
      </c>
      <c r="D33">
        <v>1769509711.87922</v>
      </c>
      <c r="E33">
        <v>107.914371140436</v>
      </c>
      <c r="F33">
        <v>1769509616</v>
      </c>
      <c r="G33">
        <v>1769509675</v>
      </c>
      <c r="H33">
        <v>59.2</v>
      </c>
      <c r="I33">
        <v>48.714371140436199</v>
      </c>
      <c r="J33">
        <v>48.714371140436199</v>
      </c>
      <c r="K33">
        <v>58.300636633456897</v>
      </c>
      <c r="L33">
        <v>36.879221677780102</v>
      </c>
      <c r="M33">
        <v>36.879221677780102</v>
      </c>
      <c r="N33" s="3">
        <v>2.0841491750233602E-6</v>
      </c>
      <c r="O33" s="2">
        <v>46049.435231076386</v>
      </c>
      <c r="P33" s="2">
        <v>46049.436480081022</v>
      </c>
      <c r="Q33" s="1" t="s">
        <v>51</v>
      </c>
      <c r="R33" s="1" t="s">
        <v>55</v>
      </c>
      <c r="T33">
        <f t="shared" si="0"/>
        <v>-48.714371140436</v>
      </c>
    </row>
    <row r="34" spans="1:20" x14ac:dyDescent="0.3">
      <c r="A34">
        <v>33</v>
      </c>
      <c r="B34">
        <v>2</v>
      </c>
      <c r="C34">
        <v>1769509603.9677401</v>
      </c>
      <c r="D34">
        <v>1769509711.8919599</v>
      </c>
      <c r="E34">
        <v>107.92422021295</v>
      </c>
      <c r="F34">
        <v>1769509619</v>
      </c>
      <c r="G34">
        <v>1769509677</v>
      </c>
      <c r="H34">
        <v>58.26</v>
      </c>
      <c r="I34">
        <v>49.664220212950397</v>
      </c>
      <c r="J34">
        <v>49.664220212950397</v>
      </c>
      <c r="K34">
        <v>59.770079432704399</v>
      </c>
      <c r="L34">
        <v>34.891964912414501</v>
      </c>
      <c r="M34">
        <v>34.891964912414501</v>
      </c>
      <c r="N34" s="3">
        <v>1.9718436707033001E-6</v>
      </c>
      <c r="O34" s="2">
        <v>46049.435231111114</v>
      </c>
      <c r="P34" s="2">
        <v>46049.436480231481</v>
      </c>
      <c r="Q34" s="1" t="s">
        <v>52</v>
      </c>
      <c r="R34" s="1" t="s">
        <v>56</v>
      </c>
      <c r="T34">
        <f t="shared" si="0"/>
        <v>-49.664220212950006</v>
      </c>
    </row>
    <row r="35" spans="1:20" x14ac:dyDescent="0.3">
      <c r="A35">
        <v>34</v>
      </c>
      <c r="B35">
        <v>3</v>
      </c>
      <c r="C35">
        <v>1769509603.97364</v>
      </c>
      <c r="D35">
        <v>1769509711.8856699</v>
      </c>
      <c r="E35">
        <v>107.912029309381</v>
      </c>
      <c r="F35">
        <v>1769509623</v>
      </c>
      <c r="G35">
        <v>1769509686</v>
      </c>
      <c r="H35">
        <v>62.625</v>
      </c>
      <c r="I35">
        <v>45.287029309381502</v>
      </c>
      <c r="J35">
        <v>45.287029309381502</v>
      </c>
      <c r="K35">
        <v>53.111080324055102</v>
      </c>
      <c r="L35">
        <v>25.8856744766235</v>
      </c>
      <c r="M35">
        <v>25.8856744766235</v>
      </c>
      <c r="N35" s="3">
        <v>1.46287270943405E-6</v>
      </c>
      <c r="O35" s="2">
        <v>46049.435231180556</v>
      </c>
      <c r="P35" s="2">
        <v>46049.43648016204</v>
      </c>
      <c r="Q35" s="1" t="s">
        <v>53</v>
      </c>
      <c r="R35" s="1" t="s">
        <v>57</v>
      </c>
      <c r="T35">
        <f t="shared" si="0"/>
        <v>-45.287029309380998</v>
      </c>
    </row>
    <row r="36" spans="1:20" x14ac:dyDescent="0.3">
      <c r="A36">
        <v>35</v>
      </c>
      <c r="B36">
        <v>5</v>
      </c>
      <c r="C36">
        <v>1769509603.9793601</v>
      </c>
      <c r="D36">
        <v>1769509711.9001801</v>
      </c>
      <c r="E36">
        <v>107.92082048166399</v>
      </c>
      <c r="F36">
        <v>1769509623</v>
      </c>
      <c r="G36">
        <v>1769509678</v>
      </c>
      <c r="H36">
        <v>54.713999999999999</v>
      </c>
      <c r="I36">
        <v>53.206820481664003</v>
      </c>
      <c r="J36">
        <v>53.206820481664003</v>
      </c>
      <c r="K36">
        <v>65.431031711518003</v>
      </c>
      <c r="L36">
        <v>33.900185585021902</v>
      </c>
      <c r="M36">
        <v>33.900185585021902</v>
      </c>
      <c r="N36" s="3">
        <v>1.9157954139368499E-6</v>
      </c>
      <c r="O36" s="2">
        <v>46049.435231238429</v>
      </c>
      <c r="P36" s="2">
        <v>46049.436480324075</v>
      </c>
      <c r="Q36" s="1" t="s">
        <v>53</v>
      </c>
      <c r="R36" s="1" t="s">
        <v>58</v>
      </c>
      <c r="T36">
        <f t="shared" si="0"/>
        <v>-53.206820481663996</v>
      </c>
    </row>
    <row r="37" spans="1:20" x14ac:dyDescent="0.3">
      <c r="A37">
        <v>36</v>
      </c>
      <c r="B37">
        <v>1</v>
      </c>
      <c r="C37">
        <v>1769509711.8717699</v>
      </c>
      <c r="D37">
        <v>1769509819.7718401</v>
      </c>
      <c r="E37">
        <v>107.900078242305</v>
      </c>
      <c r="F37">
        <v>1769509668</v>
      </c>
      <c r="G37">
        <v>1769509728</v>
      </c>
      <c r="H37">
        <v>60.274999999999999</v>
      </c>
      <c r="I37">
        <v>47.625078242305598</v>
      </c>
      <c r="J37">
        <v>47.625078242305598</v>
      </c>
      <c r="K37">
        <v>56.637497945667903</v>
      </c>
      <c r="L37">
        <v>91.771848201751695</v>
      </c>
      <c r="M37">
        <v>91.771848201751695</v>
      </c>
      <c r="N37" s="3">
        <v>5.18628659508427E-6</v>
      </c>
      <c r="O37" s="2">
        <v>46049.436479999997</v>
      </c>
      <c r="P37" s="2">
        <v>46049.437728842589</v>
      </c>
      <c r="Q37" s="1" t="s">
        <v>54</v>
      </c>
      <c r="R37" s="1" t="s">
        <v>59</v>
      </c>
      <c r="T37">
        <f t="shared" si="0"/>
        <v>-47.625078242305001</v>
      </c>
    </row>
    <row r="38" spans="1:20" x14ac:dyDescent="0.3">
      <c r="A38">
        <v>37</v>
      </c>
      <c r="B38">
        <v>4</v>
      </c>
      <c r="C38">
        <v>1769509711.87922</v>
      </c>
      <c r="D38">
        <v>1769509819.79301</v>
      </c>
      <c r="E38">
        <v>107.913791530678</v>
      </c>
      <c r="F38">
        <v>1769509675</v>
      </c>
      <c r="G38">
        <v>1769509737</v>
      </c>
      <c r="H38">
        <v>61.646000000000001</v>
      </c>
      <c r="I38">
        <v>46.267791530678899</v>
      </c>
      <c r="J38">
        <v>46.267791530678899</v>
      </c>
      <c r="K38">
        <v>54.574013229200702</v>
      </c>
      <c r="L38">
        <v>82.793013095855699</v>
      </c>
      <c r="M38">
        <v>82.793013095855699</v>
      </c>
      <c r="N38" s="3">
        <v>4.6788672267683602E-6</v>
      </c>
      <c r="O38" s="2">
        <v>46049.436480081022</v>
      </c>
      <c r="P38" s="2">
        <v>46049.43772908565</v>
      </c>
      <c r="Q38" s="1" t="s">
        <v>55</v>
      </c>
      <c r="R38" s="1" t="s">
        <v>60</v>
      </c>
      <c r="T38">
        <f t="shared" si="0"/>
        <v>-46.267791530677997</v>
      </c>
    </row>
    <row r="39" spans="1:20" x14ac:dyDescent="0.3">
      <c r="A39">
        <v>38</v>
      </c>
      <c r="B39">
        <v>3</v>
      </c>
      <c r="C39">
        <v>1769509711.8856699</v>
      </c>
      <c r="D39">
        <v>1769509819.8017099</v>
      </c>
      <c r="E39">
        <v>107.916041492056</v>
      </c>
      <c r="F39">
        <v>1769509677</v>
      </c>
      <c r="G39">
        <v>1769509737</v>
      </c>
      <c r="H39">
        <v>59.323</v>
      </c>
      <c r="I39">
        <v>48.593041492056201</v>
      </c>
      <c r="J39">
        <v>48.593041492056201</v>
      </c>
      <c r="K39">
        <v>58.112078445946302</v>
      </c>
      <c r="L39">
        <v>82.801715850830007</v>
      </c>
      <c r="M39">
        <v>82.801715850830007</v>
      </c>
      <c r="N39" s="3">
        <v>4.6793590440432399E-6</v>
      </c>
      <c r="O39" s="2">
        <v>46049.43648016204</v>
      </c>
      <c r="P39" s="2">
        <v>46049.437729189813</v>
      </c>
      <c r="Q39" s="1" t="s">
        <v>56</v>
      </c>
      <c r="R39" s="1" t="s">
        <v>60</v>
      </c>
      <c r="T39">
        <f t="shared" si="0"/>
        <v>-48.593041492055995</v>
      </c>
    </row>
    <row r="40" spans="1:20" x14ac:dyDescent="0.3">
      <c r="A40">
        <v>39</v>
      </c>
      <c r="B40">
        <v>2</v>
      </c>
      <c r="C40">
        <v>1769509711.8919599</v>
      </c>
      <c r="D40">
        <v>1769509819.8097799</v>
      </c>
      <c r="E40">
        <v>107.91782306551301</v>
      </c>
      <c r="F40">
        <v>1769509678</v>
      </c>
      <c r="G40">
        <v>1769509733</v>
      </c>
      <c r="H40">
        <v>55.411999999999999</v>
      </c>
      <c r="I40">
        <v>52.505823065513901</v>
      </c>
      <c r="J40">
        <v>52.505823065513901</v>
      </c>
      <c r="K40">
        <v>64.2942263452438</v>
      </c>
      <c r="L40">
        <v>86.809787988662706</v>
      </c>
      <c r="M40">
        <v>86.809787988662706</v>
      </c>
      <c r="N40" s="3">
        <v>4.9058665369475203E-6</v>
      </c>
      <c r="O40" s="2">
        <v>46049.436480231481</v>
      </c>
      <c r="P40" s="2">
        <v>46049.437729282407</v>
      </c>
      <c r="Q40" s="1" t="s">
        <v>58</v>
      </c>
      <c r="R40" s="1" t="s">
        <v>61</v>
      </c>
      <c r="T40">
        <f t="shared" si="0"/>
        <v>-52.505823065513006</v>
      </c>
    </row>
    <row r="41" spans="1:20" x14ac:dyDescent="0.3">
      <c r="A41">
        <v>40</v>
      </c>
      <c r="B41">
        <v>5</v>
      </c>
      <c r="C41">
        <v>1769509711.9001801</v>
      </c>
      <c r="D41">
        <v>1769509819.82353</v>
      </c>
      <c r="E41">
        <v>107.923349322584</v>
      </c>
      <c r="F41">
        <v>1769509686</v>
      </c>
      <c r="G41">
        <v>1769509745</v>
      </c>
      <c r="H41">
        <v>59.893000000000001</v>
      </c>
      <c r="I41">
        <v>48.030349322584698</v>
      </c>
      <c r="J41">
        <v>48.030349322584698</v>
      </c>
      <c r="K41">
        <v>57.241561405031398</v>
      </c>
      <c r="L41">
        <v>74.823534965515094</v>
      </c>
      <c r="M41">
        <v>74.823534965515094</v>
      </c>
      <c r="N41" s="3">
        <v>4.2284894782290297E-6</v>
      </c>
      <c r="O41" s="2">
        <v>46049.436480324075</v>
      </c>
      <c r="P41" s="2">
        <v>46049.437729444442</v>
      </c>
      <c r="Q41" s="1" t="s">
        <v>57</v>
      </c>
      <c r="R41" s="1" t="s">
        <v>62</v>
      </c>
      <c r="T41">
        <f t="shared" si="0"/>
        <v>-48.030349322584001</v>
      </c>
    </row>
    <row r="42" spans="1:20" x14ac:dyDescent="0.3">
      <c r="A42">
        <v>41</v>
      </c>
      <c r="B42">
        <v>1</v>
      </c>
      <c r="C42">
        <v>1769509819.7718401</v>
      </c>
      <c r="D42">
        <v>1769509927.68611</v>
      </c>
      <c r="E42">
        <v>107.91426274270999</v>
      </c>
      <c r="F42">
        <v>1769509728</v>
      </c>
      <c r="G42">
        <v>1769509785</v>
      </c>
      <c r="H42">
        <v>56.9</v>
      </c>
      <c r="I42">
        <v>51.0142627427104</v>
      </c>
      <c r="J42">
        <v>51.0142627427104</v>
      </c>
      <c r="K42">
        <v>61.905155407997803</v>
      </c>
      <c r="L42">
        <v>142.68611097335801</v>
      </c>
      <c r="M42">
        <v>142.68611097335801</v>
      </c>
      <c r="N42" s="3">
        <v>8.0635951510459101E-6</v>
      </c>
      <c r="O42" s="2">
        <v>46049.437728842589</v>
      </c>
      <c r="P42" s="2">
        <v>46049.438977847225</v>
      </c>
      <c r="Q42" s="1" t="s">
        <v>59</v>
      </c>
      <c r="R42" s="1" t="s">
        <v>63</v>
      </c>
      <c r="T42">
        <f t="shared" si="0"/>
        <v>-51.014262742709995</v>
      </c>
    </row>
    <row r="43" spans="1:20" x14ac:dyDescent="0.3">
      <c r="A43">
        <v>42</v>
      </c>
      <c r="B43">
        <v>4</v>
      </c>
      <c r="C43">
        <v>1769509819.79301</v>
      </c>
      <c r="D43">
        <v>1769509927.7133601</v>
      </c>
      <c r="E43">
        <v>107.92035169374201</v>
      </c>
      <c r="F43">
        <v>1769509733</v>
      </c>
      <c r="G43">
        <v>1769509794</v>
      </c>
      <c r="H43">
        <v>60.628</v>
      </c>
      <c r="I43">
        <v>47.292351693742603</v>
      </c>
      <c r="J43">
        <v>47.292351693742603</v>
      </c>
      <c r="K43">
        <v>56.117252074555097</v>
      </c>
      <c r="L43">
        <v>133.71336483955301</v>
      </c>
      <c r="M43">
        <v>133.71336483955301</v>
      </c>
      <c r="N43" s="3">
        <v>7.5565199040381899E-6</v>
      </c>
      <c r="O43" s="2">
        <v>46049.43772908565</v>
      </c>
      <c r="P43" s="2">
        <v>46049.43897815972</v>
      </c>
      <c r="Q43" s="1" t="s">
        <v>61</v>
      </c>
      <c r="R43" s="1" t="s">
        <v>64</v>
      </c>
      <c r="T43">
        <f t="shared" si="0"/>
        <v>-47.292351693742006</v>
      </c>
    </row>
    <row r="44" spans="1:20" x14ac:dyDescent="0.3">
      <c r="A44">
        <v>43</v>
      </c>
      <c r="B44">
        <v>3</v>
      </c>
      <c r="C44">
        <v>1769509819.8017099</v>
      </c>
      <c r="D44">
        <v>1769509927.72</v>
      </c>
      <c r="E44">
        <v>107.918285869101</v>
      </c>
      <c r="F44">
        <v>1769509736</v>
      </c>
      <c r="G44">
        <v>1769509795</v>
      </c>
      <c r="H44">
        <v>58.323999999999998</v>
      </c>
      <c r="I44">
        <v>49.594285869101803</v>
      </c>
      <c r="J44">
        <v>49.594285869101803</v>
      </c>
      <c r="K44">
        <v>59.665067295997197</v>
      </c>
      <c r="L44">
        <v>132.72000169754</v>
      </c>
      <c r="M44">
        <v>132.72000169754</v>
      </c>
      <c r="N44" s="3">
        <v>7.50038214511757E-6</v>
      </c>
      <c r="O44" s="2">
        <v>46049.437729189813</v>
      </c>
      <c r="P44" s="2">
        <v>46049.438978240738</v>
      </c>
      <c r="Q44" s="1" t="s">
        <v>65</v>
      </c>
      <c r="R44" s="1" t="s">
        <v>66</v>
      </c>
      <c r="T44">
        <f t="shared" si="0"/>
        <v>-49.594285869101</v>
      </c>
    </row>
    <row r="45" spans="1:20" x14ac:dyDescent="0.3">
      <c r="A45">
        <v>44</v>
      </c>
      <c r="B45">
        <v>2</v>
      </c>
      <c r="C45">
        <v>1769509819.8097799</v>
      </c>
      <c r="D45">
        <v>1769509927.7242601</v>
      </c>
      <c r="E45">
        <v>107.914471990557</v>
      </c>
      <c r="F45">
        <v>1769509737</v>
      </c>
      <c r="G45">
        <v>1769509793</v>
      </c>
      <c r="H45">
        <v>56.725999999999999</v>
      </c>
      <c r="I45">
        <v>51.188471990557403</v>
      </c>
      <c r="J45">
        <v>51.188471990557403</v>
      </c>
      <c r="K45">
        <v>62.182124931582102</v>
      </c>
      <c r="L45">
        <v>134.72426009178099</v>
      </c>
      <c r="M45">
        <v>134.72426009178099</v>
      </c>
      <c r="N45" s="3">
        <v>7.6136484520188103E-6</v>
      </c>
      <c r="O45" s="2">
        <v>46049.437729282407</v>
      </c>
      <c r="P45" s="2">
        <v>46049.438978287035</v>
      </c>
      <c r="Q45" s="1" t="s">
        <v>60</v>
      </c>
      <c r="R45" s="1" t="s">
        <v>67</v>
      </c>
      <c r="T45">
        <f t="shared" si="0"/>
        <v>-51.188471990557005</v>
      </c>
    </row>
    <row r="46" spans="1:20" x14ac:dyDescent="0.3">
      <c r="A46">
        <v>45</v>
      </c>
      <c r="B46">
        <v>5</v>
      </c>
      <c r="C46">
        <v>1769509819.82353</v>
      </c>
      <c r="D46">
        <v>1769509927.7449999</v>
      </c>
      <c r="E46">
        <v>107.921471887264</v>
      </c>
      <c r="F46">
        <v>1769509745</v>
      </c>
      <c r="G46">
        <v>1769509803</v>
      </c>
      <c r="H46">
        <v>57.125999999999998</v>
      </c>
      <c r="I46">
        <v>50.795471887264803</v>
      </c>
      <c r="J46">
        <v>50.795471887264803</v>
      </c>
      <c r="K46">
        <v>61.552559765302497</v>
      </c>
      <c r="L46">
        <v>124.74500679969699</v>
      </c>
      <c r="M46">
        <v>124.74500679969699</v>
      </c>
      <c r="N46" s="3">
        <v>7.04969264319063E-6</v>
      </c>
      <c r="O46" s="2">
        <v>46049.437729444442</v>
      </c>
      <c r="P46" s="2">
        <v>46049.438978530095</v>
      </c>
      <c r="Q46" s="1" t="s">
        <v>62</v>
      </c>
      <c r="R46" s="1" t="s">
        <v>68</v>
      </c>
      <c r="T46">
        <f t="shared" si="0"/>
        <v>-50.795471887264007</v>
      </c>
    </row>
    <row r="47" spans="1:20" x14ac:dyDescent="0.3">
      <c r="A47">
        <v>46</v>
      </c>
      <c r="B47">
        <v>1</v>
      </c>
      <c r="C47">
        <v>1769509927.68611</v>
      </c>
      <c r="D47">
        <v>1769510035.5792401</v>
      </c>
      <c r="E47">
        <v>107.893129702186</v>
      </c>
      <c r="F47">
        <v>1769509785</v>
      </c>
      <c r="G47">
        <v>1769509848</v>
      </c>
      <c r="H47">
        <v>63.094999999999999</v>
      </c>
      <c r="I47">
        <v>44.798129702186003</v>
      </c>
      <c r="J47">
        <v>44.798129702186003</v>
      </c>
      <c r="K47">
        <v>52.399110722144201</v>
      </c>
      <c r="L47">
        <v>187.57924056053099</v>
      </c>
      <c r="M47">
        <v>187.57924056053099</v>
      </c>
      <c r="N47" s="3">
        <v>1.06006321937259E-5</v>
      </c>
      <c r="O47" s="2">
        <v>46049.438977847225</v>
      </c>
      <c r="P47" s="2">
        <v>46049.440226608793</v>
      </c>
      <c r="Q47" s="1" t="s">
        <v>63</v>
      </c>
      <c r="R47" s="1" t="s">
        <v>69</v>
      </c>
      <c r="T47">
        <f t="shared" si="0"/>
        <v>-44.798129702186003</v>
      </c>
    </row>
    <row r="48" spans="1:20" x14ac:dyDescent="0.3">
      <c r="A48">
        <v>47</v>
      </c>
      <c r="B48">
        <v>4</v>
      </c>
      <c r="C48">
        <v>1769509927.7133601</v>
      </c>
      <c r="D48">
        <v>1769510035.6268899</v>
      </c>
      <c r="E48">
        <v>107.91352870958499</v>
      </c>
      <c r="F48">
        <v>1769509793</v>
      </c>
      <c r="G48">
        <v>1769509850</v>
      </c>
      <c r="H48">
        <v>57.386000000000003</v>
      </c>
      <c r="I48">
        <v>50.527528709585702</v>
      </c>
      <c r="J48">
        <v>50.527528709585702</v>
      </c>
      <c r="K48">
        <v>61.134510308686203</v>
      </c>
      <c r="L48">
        <v>185.626893520355</v>
      </c>
      <c r="M48">
        <v>185.626893520355</v>
      </c>
      <c r="N48" s="3">
        <v>1.04902995472981E-5</v>
      </c>
      <c r="O48" s="2">
        <v>46049.43897815972</v>
      </c>
      <c r="P48" s="2">
        <v>46049.440227164348</v>
      </c>
      <c r="Q48" s="1" t="s">
        <v>67</v>
      </c>
      <c r="R48" s="1" t="s">
        <v>70</v>
      </c>
      <c r="T48">
        <f t="shared" si="0"/>
        <v>-50.527528709584992</v>
      </c>
    </row>
    <row r="49" spans="1:20" x14ac:dyDescent="0.3">
      <c r="A49">
        <v>48</v>
      </c>
      <c r="B49">
        <v>3</v>
      </c>
      <c r="C49">
        <v>1769509927.72</v>
      </c>
      <c r="D49">
        <v>1769510035.63538</v>
      </c>
      <c r="E49">
        <v>107.915379439028</v>
      </c>
      <c r="F49">
        <v>1769509794</v>
      </c>
      <c r="G49">
        <v>1769509854</v>
      </c>
      <c r="H49">
        <v>60.398000000000003</v>
      </c>
      <c r="I49">
        <v>47.517379439028097</v>
      </c>
      <c r="J49">
        <v>47.517379439028097</v>
      </c>
      <c r="K49">
        <v>56.462985411378199</v>
      </c>
      <c r="L49">
        <v>181.63538122177101</v>
      </c>
      <c r="M49">
        <v>181.63538122177101</v>
      </c>
      <c r="N49" s="3">
        <v>1.0264727912590699E-5</v>
      </c>
      <c r="O49" s="2">
        <v>46049.438978240738</v>
      </c>
      <c r="P49" s="2">
        <v>46049.440227256942</v>
      </c>
      <c r="Q49" s="1" t="s">
        <v>64</v>
      </c>
      <c r="R49" s="1" t="s">
        <v>71</v>
      </c>
      <c r="T49">
        <f t="shared" si="0"/>
        <v>-47.517379439027998</v>
      </c>
    </row>
    <row r="50" spans="1:20" x14ac:dyDescent="0.3">
      <c r="A50">
        <v>49</v>
      </c>
      <c r="B50">
        <v>2</v>
      </c>
      <c r="C50">
        <v>1769509927.7242601</v>
      </c>
      <c r="D50">
        <v>1769510035.6424301</v>
      </c>
      <c r="E50">
        <v>107.91817509278999</v>
      </c>
      <c r="F50">
        <v>1769509795</v>
      </c>
      <c r="G50">
        <v>1769509853</v>
      </c>
      <c r="H50">
        <v>58.515999999999998</v>
      </c>
      <c r="I50">
        <v>49.402175092790003</v>
      </c>
      <c r="J50">
        <v>49.402175092790003</v>
      </c>
      <c r="K50">
        <v>59.365421873539397</v>
      </c>
      <c r="L50">
        <v>182.642435073852</v>
      </c>
      <c r="M50">
        <v>182.642435073852</v>
      </c>
      <c r="N50" s="3">
        <v>1.03216393702672E-5</v>
      </c>
      <c r="O50" s="2">
        <v>46049.438978287035</v>
      </c>
      <c r="P50" s="2">
        <v>46049.44022733796</v>
      </c>
      <c r="Q50" s="1" t="s">
        <v>66</v>
      </c>
      <c r="R50" s="1" t="s">
        <v>72</v>
      </c>
      <c r="T50">
        <f t="shared" si="0"/>
        <v>-49.402175092789996</v>
      </c>
    </row>
    <row r="51" spans="1:20" x14ac:dyDescent="0.3">
      <c r="A51">
        <v>50</v>
      </c>
      <c r="B51">
        <v>5</v>
      </c>
      <c r="C51">
        <v>1769509927.7449999</v>
      </c>
      <c r="D51">
        <v>1769510035.66324</v>
      </c>
      <c r="E51">
        <v>107.918238268371</v>
      </c>
      <c r="F51">
        <v>1769509803</v>
      </c>
      <c r="G51">
        <v>1769509864</v>
      </c>
      <c r="H51">
        <v>60.387</v>
      </c>
      <c r="I51">
        <v>47.531238268371403</v>
      </c>
      <c r="J51">
        <v>47.531238268371403</v>
      </c>
      <c r="K51">
        <v>56.482185293104699</v>
      </c>
      <c r="L51">
        <v>171.663244962692</v>
      </c>
      <c r="M51">
        <v>171.663244962692</v>
      </c>
      <c r="N51" s="3">
        <v>9.7011743267692192E-6</v>
      </c>
      <c r="O51" s="2">
        <v>46049.438978530095</v>
      </c>
      <c r="P51" s="2">
        <v>46049.440227581021</v>
      </c>
      <c r="Q51" s="1" t="s">
        <v>68</v>
      </c>
      <c r="R51" s="1" t="s">
        <v>73</v>
      </c>
      <c r="T51">
        <f t="shared" si="0"/>
        <v>-47.531238268370998</v>
      </c>
    </row>
    <row r="52" spans="1:20" x14ac:dyDescent="0.3">
      <c r="A52">
        <v>51</v>
      </c>
      <c r="B52">
        <v>1</v>
      </c>
      <c r="C52">
        <v>1769510035.5792401</v>
      </c>
      <c r="D52">
        <v>1769510143.4863601</v>
      </c>
      <c r="E52">
        <v>107.907123500322</v>
      </c>
      <c r="F52">
        <v>1769509848</v>
      </c>
      <c r="G52">
        <v>1769509905</v>
      </c>
      <c r="H52">
        <v>57.744</v>
      </c>
      <c r="I52">
        <v>50.163123500322897</v>
      </c>
      <c r="J52">
        <v>50.163123500322897</v>
      </c>
      <c r="K52">
        <v>60.564785122299597</v>
      </c>
      <c r="L52">
        <v>238.48636412620499</v>
      </c>
      <c r="M52">
        <v>238.48636412620499</v>
      </c>
      <c r="N52" s="3">
        <v>1.3477536767739101E-5</v>
      </c>
      <c r="O52" s="2">
        <v>46049.440226608793</v>
      </c>
      <c r="P52" s="2">
        <v>46049.441475532411</v>
      </c>
      <c r="Q52" s="1" t="s">
        <v>69</v>
      </c>
      <c r="R52" s="1" t="s">
        <v>74</v>
      </c>
      <c r="T52">
        <f t="shared" si="0"/>
        <v>-50.163123500322001</v>
      </c>
    </row>
    <row r="53" spans="1:20" x14ac:dyDescent="0.3">
      <c r="A53">
        <v>52</v>
      </c>
      <c r="B53">
        <v>4</v>
      </c>
      <c r="C53">
        <v>1769510035.6268899</v>
      </c>
      <c r="D53">
        <v>1769510143.5466299</v>
      </c>
      <c r="E53">
        <v>107.919745613125</v>
      </c>
      <c r="F53">
        <v>1769509850</v>
      </c>
      <c r="G53">
        <v>1769509908</v>
      </c>
      <c r="H53">
        <v>57.622</v>
      </c>
      <c r="I53">
        <v>50.297745613125201</v>
      </c>
      <c r="J53">
        <v>50.297745613125201</v>
      </c>
      <c r="K53">
        <v>60.767446213442902</v>
      </c>
      <c r="L53">
        <v>235.54663920402501</v>
      </c>
      <c r="M53">
        <v>235.54663920402501</v>
      </c>
      <c r="N53" s="3">
        <v>1.3311404613324199E-5</v>
      </c>
      <c r="O53" s="2">
        <v>46049.440227164348</v>
      </c>
      <c r="P53" s="2">
        <v>46049.441476238426</v>
      </c>
      <c r="Q53" s="1" t="s">
        <v>70</v>
      </c>
      <c r="R53" s="1" t="s">
        <v>75</v>
      </c>
      <c r="T53">
        <f t="shared" si="0"/>
        <v>-50.297745613125002</v>
      </c>
    </row>
    <row r="54" spans="1:20" x14ac:dyDescent="0.3">
      <c r="A54">
        <v>53</v>
      </c>
      <c r="B54">
        <v>3</v>
      </c>
      <c r="C54">
        <v>1769510035.63538</v>
      </c>
      <c r="D54">
        <v>1769510143.5389299</v>
      </c>
      <c r="E54">
        <v>107.90355029067101</v>
      </c>
      <c r="F54">
        <v>1769509853</v>
      </c>
      <c r="G54">
        <v>1769509915</v>
      </c>
      <c r="H54">
        <v>61.448999999999998</v>
      </c>
      <c r="I54">
        <v>46.454550290671598</v>
      </c>
      <c r="J54">
        <v>46.454550290671598</v>
      </c>
      <c r="K54">
        <v>54.861353089680001</v>
      </c>
      <c r="L54">
        <v>228.53893160819999</v>
      </c>
      <c r="M54">
        <v>228.53893160819999</v>
      </c>
      <c r="N54" s="3">
        <v>1.29153792760672E-5</v>
      </c>
      <c r="O54" s="2">
        <v>46049.440227256942</v>
      </c>
      <c r="P54" s="2">
        <v>46049.441476145832</v>
      </c>
      <c r="Q54" s="1" t="s">
        <v>72</v>
      </c>
      <c r="R54" s="1" t="s">
        <v>76</v>
      </c>
      <c r="T54">
        <f t="shared" si="0"/>
        <v>-46.454550290671008</v>
      </c>
    </row>
    <row r="55" spans="1:20" x14ac:dyDescent="0.3">
      <c r="A55">
        <v>54</v>
      </c>
      <c r="B55">
        <v>2</v>
      </c>
      <c r="C55">
        <v>1769510035.6424301</v>
      </c>
      <c r="D55">
        <v>1769510143.55674</v>
      </c>
      <c r="E55">
        <v>107.914306351256</v>
      </c>
      <c r="F55">
        <v>1769509854</v>
      </c>
      <c r="G55">
        <v>1769509914</v>
      </c>
      <c r="H55">
        <v>59.396000000000001</v>
      </c>
      <c r="I55">
        <v>48.518306351256001</v>
      </c>
      <c r="J55">
        <v>48.518306351256001</v>
      </c>
      <c r="K55">
        <v>57.997988778282703</v>
      </c>
      <c r="L55">
        <v>229.55674147605799</v>
      </c>
      <c r="M55">
        <v>229.55674147605799</v>
      </c>
      <c r="N55" s="3">
        <v>1.2972898584504699E-5</v>
      </c>
      <c r="O55" s="2">
        <v>46049.44022733796</v>
      </c>
      <c r="P55" s="2">
        <v>46049.441476354164</v>
      </c>
      <c r="Q55" s="1" t="s">
        <v>71</v>
      </c>
      <c r="R55" s="1" t="s">
        <v>77</v>
      </c>
      <c r="T55">
        <f t="shared" si="0"/>
        <v>-48.518306351256001</v>
      </c>
    </row>
    <row r="56" spans="1:20" x14ac:dyDescent="0.3">
      <c r="A56">
        <v>55</v>
      </c>
      <c r="B56">
        <v>5</v>
      </c>
      <c r="C56">
        <v>1769510035.66324</v>
      </c>
      <c r="D56">
        <v>1769510143.5834899</v>
      </c>
      <c r="E56">
        <v>107.920248134166</v>
      </c>
      <c r="F56">
        <v>1769509863</v>
      </c>
      <c r="G56">
        <v>1769509925</v>
      </c>
      <c r="H56">
        <v>61.755000000000003</v>
      </c>
      <c r="I56">
        <v>46.165248134166099</v>
      </c>
      <c r="J56">
        <v>46.165248134166099</v>
      </c>
      <c r="K56">
        <v>54.416007805289503</v>
      </c>
      <c r="L56">
        <v>218.58349299430799</v>
      </c>
      <c r="M56">
        <v>218.58349299430799</v>
      </c>
      <c r="N56" s="3">
        <v>1.2352769340570399E-5</v>
      </c>
      <c r="O56" s="2">
        <v>46049.440227581021</v>
      </c>
      <c r="P56" s="2">
        <v>46049.441476655091</v>
      </c>
      <c r="Q56" s="1" t="s">
        <v>78</v>
      </c>
      <c r="R56" s="1" t="s">
        <v>79</v>
      </c>
      <c r="T56">
        <f t="shared" si="0"/>
        <v>-46.165248134165999</v>
      </c>
    </row>
    <row r="57" spans="1:20" x14ac:dyDescent="0.3">
      <c r="A57">
        <v>56</v>
      </c>
      <c r="B57">
        <v>1</v>
      </c>
      <c r="C57">
        <v>1769510143.4863601</v>
      </c>
      <c r="D57">
        <v>1769510251.40821</v>
      </c>
      <c r="E57">
        <v>107.921846054486</v>
      </c>
      <c r="F57">
        <v>1769509905</v>
      </c>
      <c r="G57">
        <v>1769509961</v>
      </c>
      <c r="H57">
        <v>55.634999999999998</v>
      </c>
      <c r="I57">
        <v>52.286846054486602</v>
      </c>
      <c r="J57">
        <v>52.286846054486602</v>
      </c>
      <c r="K57">
        <v>63.9372148776554</v>
      </c>
      <c r="L57">
        <v>290.40821027755698</v>
      </c>
      <c r="M57">
        <v>290.40821027755698</v>
      </c>
      <c r="N57" s="3">
        <v>1.6411785909521099E-5</v>
      </c>
      <c r="O57" s="2">
        <v>46049.441475532411</v>
      </c>
      <c r="P57" s="2">
        <v>46049.442724629633</v>
      </c>
      <c r="Q57" s="1" t="s">
        <v>74</v>
      </c>
      <c r="R57" s="1" t="s">
        <v>80</v>
      </c>
      <c r="T57">
        <f t="shared" si="0"/>
        <v>-52.286846054485999</v>
      </c>
    </row>
    <row r="58" spans="1:20" x14ac:dyDescent="0.3">
      <c r="A58">
        <v>57</v>
      </c>
      <c r="B58">
        <v>3</v>
      </c>
      <c r="C58">
        <v>1769510143.5389299</v>
      </c>
      <c r="D58">
        <v>1769510251.45068</v>
      </c>
      <c r="E58">
        <v>107.91175549336999</v>
      </c>
      <c r="F58">
        <v>1769509908</v>
      </c>
      <c r="G58">
        <v>1769509964</v>
      </c>
      <c r="H58">
        <v>56.682000000000002</v>
      </c>
      <c r="I58">
        <v>51.229755493370398</v>
      </c>
      <c r="J58">
        <v>51.229755493370398</v>
      </c>
      <c r="K58">
        <v>62.2499381459631</v>
      </c>
      <c r="L58">
        <v>287.450687170028</v>
      </c>
      <c r="M58">
        <v>287.450687170028</v>
      </c>
      <c r="N58" s="3">
        <v>1.6244647934763001E-5</v>
      </c>
      <c r="O58" s="2">
        <v>46049.441476145832</v>
      </c>
      <c r="P58" s="2">
        <v>46049.442725127315</v>
      </c>
      <c r="Q58" s="1" t="s">
        <v>75</v>
      </c>
      <c r="R58" s="1" t="s">
        <v>81</v>
      </c>
      <c r="T58">
        <f t="shared" si="0"/>
        <v>-51.229755493369993</v>
      </c>
    </row>
    <row r="59" spans="1:20" x14ac:dyDescent="0.3">
      <c r="A59">
        <v>58</v>
      </c>
      <c r="B59">
        <v>4</v>
      </c>
      <c r="C59">
        <v>1769510143.5466299</v>
      </c>
      <c r="D59">
        <v>1769510251.46664</v>
      </c>
      <c r="E59">
        <v>107.920002924286</v>
      </c>
      <c r="F59">
        <v>1769509914</v>
      </c>
      <c r="G59">
        <v>1769509971</v>
      </c>
      <c r="H59">
        <v>57.895000000000003</v>
      </c>
      <c r="I59">
        <v>50.025002924286603</v>
      </c>
      <c r="J59">
        <v>50.025002924286603</v>
      </c>
      <c r="K59">
        <v>60.338331323527697</v>
      </c>
      <c r="L59">
        <v>280.46664214134199</v>
      </c>
      <c r="M59">
        <v>280.46664214134199</v>
      </c>
      <c r="N59" s="3">
        <v>1.58499598482577E-5</v>
      </c>
      <c r="O59" s="2">
        <v>46049.441476238426</v>
      </c>
      <c r="P59" s="2">
        <v>46049.442725312503</v>
      </c>
      <c r="Q59" s="1" t="s">
        <v>77</v>
      </c>
      <c r="R59" s="1" t="s">
        <v>82</v>
      </c>
      <c r="T59">
        <f t="shared" si="0"/>
        <v>-50.025002924285992</v>
      </c>
    </row>
    <row r="60" spans="1:20" x14ac:dyDescent="0.3">
      <c r="A60">
        <v>59</v>
      </c>
      <c r="B60">
        <v>2</v>
      </c>
      <c r="C60">
        <v>1769510143.55674</v>
      </c>
      <c r="D60">
        <v>1769510251.46261</v>
      </c>
      <c r="E60">
        <v>107.905876274657</v>
      </c>
      <c r="F60">
        <v>1769509915</v>
      </c>
      <c r="G60">
        <v>1769509975</v>
      </c>
      <c r="H60">
        <v>60.31</v>
      </c>
      <c r="I60">
        <v>47.595876274657897</v>
      </c>
      <c r="J60">
        <v>47.595876274657897</v>
      </c>
      <c r="K60">
        <v>56.589041805952697</v>
      </c>
      <c r="L60">
        <v>276.46261763572602</v>
      </c>
      <c r="M60">
        <v>276.46261763572602</v>
      </c>
      <c r="N60" s="3">
        <v>1.5623681128946799E-5</v>
      </c>
      <c r="O60" s="2">
        <v>46049.441476354164</v>
      </c>
      <c r="P60" s="2">
        <v>46049.442725266206</v>
      </c>
      <c r="Q60" s="1" t="s">
        <v>76</v>
      </c>
      <c r="R60" s="1" t="s">
        <v>83</v>
      </c>
      <c r="T60">
        <f t="shared" si="0"/>
        <v>-47.595876274657002</v>
      </c>
    </row>
    <row r="61" spans="1:20" x14ac:dyDescent="0.3">
      <c r="A61">
        <v>60</v>
      </c>
      <c r="B61">
        <v>5</v>
      </c>
      <c r="C61">
        <v>1769510143.5834899</v>
      </c>
      <c r="D61">
        <v>1769510251.5101399</v>
      </c>
      <c r="E61">
        <v>107.926649896988</v>
      </c>
      <c r="F61">
        <v>1769509925</v>
      </c>
      <c r="G61">
        <v>1769509989</v>
      </c>
      <c r="H61">
        <v>63.646000000000001</v>
      </c>
      <c r="I61">
        <v>44.280649896988898</v>
      </c>
      <c r="J61">
        <v>44.280649896988898</v>
      </c>
      <c r="K61">
        <v>51.617375990374597</v>
      </c>
      <c r="L61">
        <v>262.51014280319202</v>
      </c>
      <c r="M61">
        <v>262.51014280319202</v>
      </c>
      <c r="N61" s="3">
        <v>1.4835187422683501E-5</v>
      </c>
      <c r="O61" s="2">
        <v>46049.441476655091</v>
      </c>
      <c r="P61" s="2">
        <v>46049.442725810186</v>
      </c>
      <c r="Q61" s="1" t="s">
        <v>79</v>
      </c>
      <c r="R61" s="1" t="s">
        <v>84</v>
      </c>
      <c r="T61">
        <f t="shared" si="0"/>
        <v>-44.280649896987995</v>
      </c>
    </row>
    <row r="62" spans="1:20" x14ac:dyDescent="0.3">
      <c r="A62">
        <v>61</v>
      </c>
      <c r="B62">
        <v>1</v>
      </c>
      <c r="C62">
        <v>1769510251.40821</v>
      </c>
      <c r="D62">
        <v>1769510359.32061</v>
      </c>
      <c r="E62">
        <v>107.912403130859</v>
      </c>
      <c r="F62">
        <v>1769509961</v>
      </c>
      <c r="G62">
        <v>1769510020</v>
      </c>
      <c r="H62">
        <v>59.216000000000001</v>
      </c>
      <c r="I62">
        <v>48.696403130859501</v>
      </c>
      <c r="J62">
        <v>48.696403130859501</v>
      </c>
      <c r="K62">
        <v>58.274239708651798</v>
      </c>
      <c r="L62">
        <v>339.32061338424597</v>
      </c>
      <c r="M62">
        <v>339.32061338424597</v>
      </c>
      <c r="N62" s="3">
        <v>1.9175962668482E-5</v>
      </c>
      <c r="O62" s="2">
        <v>46049.442724629633</v>
      </c>
      <c r="P62" s="2">
        <v>46049.443973622685</v>
      </c>
      <c r="Q62" s="1" t="s">
        <v>80</v>
      </c>
      <c r="R62" s="1" t="s">
        <v>85</v>
      </c>
      <c r="T62">
        <f t="shared" si="0"/>
        <v>-48.696403130859004</v>
      </c>
    </row>
    <row r="63" spans="1:20" x14ac:dyDescent="0.3">
      <c r="A63">
        <v>62</v>
      </c>
      <c r="B63">
        <v>3</v>
      </c>
      <c r="C63">
        <v>1769510251.45068</v>
      </c>
      <c r="D63">
        <v>1769510359.3563499</v>
      </c>
      <c r="E63">
        <v>107.90566738699199</v>
      </c>
      <c r="F63">
        <v>1769509964</v>
      </c>
      <c r="G63">
        <v>1769510021</v>
      </c>
      <c r="H63">
        <v>57.463000000000001</v>
      </c>
      <c r="I63">
        <v>50.442667386992497</v>
      </c>
      <c r="J63">
        <v>50.442667386992497</v>
      </c>
      <c r="K63">
        <v>61.006317803780298</v>
      </c>
      <c r="L63">
        <v>338.35635447502102</v>
      </c>
      <c r="M63">
        <v>338.35635447502102</v>
      </c>
      <c r="N63" s="3">
        <v>1.9121469678620498E-5</v>
      </c>
      <c r="O63" s="2">
        <v>46049.442725127315</v>
      </c>
      <c r="P63" s="2">
        <v>46049.443974027781</v>
      </c>
      <c r="Q63" s="1" t="s">
        <v>81</v>
      </c>
      <c r="R63" s="1" t="s">
        <v>86</v>
      </c>
      <c r="T63">
        <f t="shared" si="0"/>
        <v>-50.442667386991992</v>
      </c>
    </row>
    <row r="64" spans="1:20" x14ac:dyDescent="0.3">
      <c r="A64">
        <v>63</v>
      </c>
      <c r="B64">
        <v>2</v>
      </c>
      <c r="C64">
        <v>1769510251.46261</v>
      </c>
      <c r="D64">
        <v>1769510359.37518</v>
      </c>
      <c r="E64">
        <v>107.91256248910101</v>
      </c>
      <c r="F64">
        <v>1769509971</v>
      </c>
      <c r="G64">
        <v>1769510028</v>
      </c>
      <c r="H64">
        <v>56.27</v>
      </c>
      <c r="I64">
        <v>51.642562489101401</v>
      </c>
      <c r="J64">
        <v>51.642562489101401</v>
      </c>
      <c r="K64">
        <v>62.9087056581048</v>
      </c>
      <c r="L64">
        <v>331.37518000602699</v>
      </c>
      <c r="M64">
        <v>331.37518000602699</v>
      </c>
      <c r="N64" s="3">
        <v>1.8726943828193101E-5</v>
      </c>
      <c r="O64" s="2">
        <v>46049.442725266206</v>
      </c>
      <c r="P64" s="2">
        <v>46049.443974247682</v>
      </c>
      <c r="Q64" s="1" t="s">
        <v>82</v>
      </c>
      <c r="R64" s="1" t="s">
        <v>87</v>
      </c>
      <c r="T64">
        <f t="shared" si="0"/>
        <v>-51.642562489101003</v>
      </c>
    </row>
    <row r="65" spans="1:20" x14ac:dyDescent="0.3">
      <c r="A65">
        <v>64</v>
      </c>
      <c r="B65">
        <v>4</v>
      </c>
      <c r="C65">
        <v>1769510251.46664</v>
      </c>
      <c r="D65">
        <v>1769510359.38099</v>
      </c>
      <c r="E65">
        <v>107.91435648944299</v>
      </c>
      <c r="F65">
        <v>1769509975</v>
      </c>
      <c r="G65">
        <v>1769510031</v>
      </c>
      <c r="H65">
        <v>55.923000000000002</v>
      </c>
      <c r="I65">
        <v>51.991356489443</v>
      </c>
      <c r="J65">
        <v>51.991356489443</v>
      </c>
      <c r="K65">
        <v>63.467035361734602</v>
      </c>
      <c r="L65">
        <v>328.38099861145002</v>
      </c>
      <c r="M65">
        <v>328.38099861145002</v>
      </c>
      <c r="N65" s="3">
        <v>1.85577341969537E-5</v>
      </c>
      <c r="O65" s="2">
        <v>46049.442725312503</v>
      </c>
      <c r="P65" s="2">
        <v>46049.443974317132</v>
      </c>
      <c r="Q65" s="1" t="s">
        <v>83</v>
      </c>
      <c r="R65" s="1" t="s">
        <v>88</v>
      </c>
      <c r="T65">
        <f t="shared" si="0"/>
        <v>-51.991356489442992</v>
      </c>
    </row>
    <row r="66" spans="1:20" x14ac:dyDescent="0.3">
      <c r="A66">
        <v>65</v>
      </c>
      <c r="B66">
        <v>5</v>
      </c>
      <c r="C66">
        <v>1769510251.5101399</v>
      </c>
      <c r="D66">
        <v>1769510359.41594</v>
      </c>
      <c r="E66">
        <v>107.905804009652</v>
      </c>
      <c r="F66">
        <v>1769509989</v>
      </c>
      <c r="G66">
        <v>1769510049</v>
      </c>
      <c r="H66">
        <v>60.482999999999997</v>
      </c>
      <c r="I66">
        <v>47.4228040096529</v>
      </c>
      <c r="J66">
        <v>47.4228040096529</v>
      </c>
      <c r="K66">
        <v>56.325364727852602</v>
      </c>
      <c r="L66">
        <v>310.41594672203001</v>
      </c>
      <c r="M66">
        <v>310.41594672203001</v>
      </c>
      <c r="N66" s="3">
        <v>1.7542478477029799E-5</v>
      </c>
      <c r="O66" s="2">
        <v>46049.442725810186</v>
      </c>
      <c r="P66" s="2">
        <v>46049.44397472222</v>
      </c>
      <c r="Q66" s="1" t="s">
        <v>84</v>
      </c>
      <c r="R66" s="1" t="s">
        <v>89</v>
      </c>
      <c r="T66">
        <f t="shared" si="0"/>
        <v>-47.422804009652005</v>
      </c>
    </row>
    <row r="67" spans="1:20" x14ac:dyDescent="0.3">
      <c r="A67">
        <v>66</v>
      </c>
      <c r="B67">
        <v>1</v>
      </c>
      <c r="C67">
        <v>1769510359.32061</v>
      </c>
      <c r="D67">
        <v>1769510467.23669</v>
      </c>
      <c r="E67">
        <v>107.916085996894</v>
      </c>
      <c r="F67">
        <v>1769510020</v>
      </c>
      <c r="G67">
        <v>1769510078</v>
      </c>
      <c r="H67">
        <v>57.442</v>
      </c>
      <c r="I67">
        <v>50.474085996893997</v>
      </c>
      <c r="J67">
        <v>50.474085996893997</v>
      </c>
      <c r="K67">
        <v>61.048222338328301</v>
      </c>
      <c r="L67">
        <v>389.23669934272698</v>
      </c>
      <c r="M67">
        <v>389.23669934272698</v>
      </c>
      <c r="N67" s="3">
        <v>2.1996860112418101E-5</v>
      </c>
      <c r="O67" s="2">
        <v>46049.443973622685</v>
      </c>
      <c r="P67" s="2">
        <v>46049.445222650465</v>
      </c>
      <c r="Q67" s="1" t="s">
        <v>85</v>
      </c>
      <c r="R67" s="1" t="s">
        <v>90</v>
      </c>
      <c r="T67">
        <f t="shared" ref="T67:T98" si="1">H67-E67</f>
        <v>-50.474085996893997</v>
      </c>
    </row>
    <row r="68" spans="1:20" x14ac:dyDescent="0.3">
      <c r="A68">
        <v>67</v>
      </c>
      <c r="B68">
        <v>3</v>
      </c>
      <c r="C68">
        <v>1769510359.3563499</v>
      </c>
      <c r="D68">
        <v>1769510467.26123</v>
      </c>
      <c r="E68">
        <v>107.904880466405</v>
      </c>
      <c r="F68">
        <v>1769510021</v>
      </c>
      <c r="G68">
        <v>1769510080</v>
      </c>
      <c r="H68">
        <v>58.512999999999998</v>
      </c>
      <c r="I68">
        <v>49.391880466405503</v>
      </c>
      <c r="J68">
        <v>49.391880466405503</v>
      </c>
      <c r="K68">
        <v>59.3588625548877</v>
      </c>
      <c r="L68">
        <v>387.261234998703</v>
      </c>
      <c r="M68">
        <v>387.261234998703</v>
      </c>
      <c r="N68" s="3">
        <v>2.1885221056339701E-5</v>
      </c>
      <c r="O68" s="2">
        <v>46049.443974027781</v>
      </c>
      <c r="P68" s="2">
        <v>46049.44522292824</v>
      </c>
      <c r="Q68" s="1" t="s">
        <v>86</v>
      </c>
      <c r="R68" s="1" t="s">
        <v>91</v>
      </c>
      <c r="T68">
        <f t="shared" si="1"/>
        <v>-49.391880466405006</v>
      </c>
    </row>
    <row r="69" spans="1:20" x14ac:dyDescent="0.3">
      <c r="A69">
        <v>68</v>
      </c>
      <c r="B69">
        <v>2</v>
      </c>
      <c r="C69">
        <v>1769510359.37518</v>
      </c>
      <c r="D69">
        <v>1769510467.2814701</v>
      </c>
      <c r="E69">
        <v>107.906294413227</v>
      </c>
      <c r="F69">
        <v>1769510028</v>
      </c>
      <c r="G69">
        <v>1769510083</v>
      </c>
      <c r="H69">
        <v>55.695</v>
      </c>
      <c r="I69">
        <v>52.211294413227201</v>
      </c>
      <c r="J69">
        <v>52.211294413227201</v>
      </c>
      <c r="K69">
        <v>63.827483273269102</v>
      </c>
      <c r="L69">
        <v>384.28147435188203</v>
      </c>
      <c r="M69">
        <v>384.28147435188203</v>
      </c>
      <c r="N69" s="3">
        <v>2.1716826386968499E-5</v>
      </c>
      <c r="O69" s="2">
        <v>46049.443974247682</v>
      </c>
      <c r="P69" s="2">
        <v>46049.445223159724</v>
      </c>
      <c r="Q69" s="1" t="s">
        <v>87</v>
      </c>
      <c r="R69" s="1" t="s">
        <v>92</v>
      </c>
      <c r="T69">
        <f t="shared" si="1"/>
        <v>-52.211294413227002</v>
      </c>
    </row>
    <row r="70" spans="1:20" x14ac:dyDescent="0.3">
      <c r="A70">
        <v>69</v>
      </c>
      <c r="B70">
        <v>4</v>
      </c>
      <c r="C70">
        <v>1769510359.38099</v>
      </c>
      <c r="D70">
        <v>1769510467.29512</v>
      </c>
      <c r="E70">
        <v>107.91412633143101</v>
      </c>
      <c r="F70">
        <v>1769510031</v>
      </c>
      <c r="G70">
        <v>1769510087</v>
      </c>
      <c r="H70">
        <v>56.271000000000001</v>
      </c>
      <c r="I70">
        <v>51.643126331431901</v>
      </c>
      <c r="J70">
        <v>51.643126331431901</v>
      </c>
      <c r="K70">
        <v>62.9084101408585</v>
      </c>
      <c r="L70">
        <v>380.295125007629</v>
      </c>
      <c r="M70">
        <v>380.295125007629</v>
      </c>
      <c r="N70" s="3">
        <v>2.1491546554940701E-5</v>
      </c>
      <c r="O70" s="2">
        <v>46049.443974317132</v>
      </c>
      <c r="P70" s="2">
        <v>46049.44522332176</v>
      </c>
      <c r="Q70" s="1" t="s">
        <v>88</v>
      </c>
      <c r="R70" s="1" t="s">
        <v>93</v>
      </c>
      <c r="T70">
        <f t="shared" si="1"/>
        <v>-51.643126331431006</v>
      </c>
    </row>
    <row r="71" spans="1:20" x14ac:dyDescent="0.3">
      <c r="A71">
        <v>70</v>
      </c>
      <c r="B71">
        <v>5</v>
      </c>
      <c r="C71">
        <v>1769510359.41594</v>
      </c>
      <c r="D71">
        <v>1769510467.3317101</v>
      </c>
      <c r="E71">
        <v>107.91576674298901</v>
      </c>
      <c r="F71">
        <v>1769510049</v>
      </c>
      <c r="G71">
        <v>1769510110</v>
      </c>
      <c r="H71">
        <v>60.640999999999998</v>
      </c>
      <c r="I71">
        <v>47.274766742989598</v>
      </c>
      <c r="J71">
        <v>47.274766742989598</v>
      </c>
      <c r="K71">
        <v>56.093585154101604</v>
      </c>
      <c r="L71">
        <v>357.331713438034</v>
      </c>
      <c r="M71">
        <v>357.331713438034</v>
      </c>
      <c r="N71" s="3">
        <v>2.0193819483663299E-5</v>
      </c>
      <c r="O71" s="2">
        <v>46049.44397472222</v>
      </c>
      <c r="P71" s="2">
        <v>46049.445223750001</v>
      </c>
      <c r="Q71" s="1" t="s">
        <v>89</v>
      </c>
      <c r="R71" s="1" t="s">
        <v>94</v>
      </c>
      <c r="T71">
        <f t="shared" si="1"/>
        <v>-47.274766742989009</v>
      </c>
    </row>
    <row r="72" spans="1:20" x14ac:dyDescent="0.3">
      <c r="A72">
        <v>71</v>
      </c>
      <c r="B72">
        <v>1</v>
      </c>
      <c r="C72">
        <v>1769510467.23669</v>
      </c>
      <c r="D72">
        <v>1769510575.1468101</v>
      </c>
      <c r="E72">
        <v>107.910112992938</v>
      </c>
      <c r="F72">
        <v>1769510078</v>
      </c>
      <c r="G72">
        <v>1769510134</v>
      </c>
      <c r="H72">
        <v>56.649000000000001</v>
      </c>
      <c r="I72">
        <v>51.261112992938799</v>
      </c>
      <c r="J72">
        <v>51.261112992938799</v>
      </c>
      <c r="K72">
        <v>62.301153744233403</v>
      </c>
      <c r="L72">
        <v>441.14681243896399</v>
      </c>
      <c r="M72">
        <v>441.14681243896399</v>
      </c>
      <c r="N72" s="3">
        <v>2.4930445379920698E-5</v>
      </c>
      <c r="O72" s="2">
        <v>46049.445222650465</v>
      </c>
      <c r="P72" s="2">
        <v>46049.446471608797</v>
      </c>
      <c r="Q72" s="1" t="s">
        <v>90</v>
      </c>
      <c r="R72" s="1" t="s">
        <v>95</v>
      </c>
      <c r="T72">
        <f t="shared" si="1"/>
        <v>-51.261112992937996</v>
      </c>
    </row>
    <row r="73" spans="1:20" x14ac:dyDescent="0.3">
      <c r="A73">
        <v>72</v>
      </c>
      <c r="B73">
        <v>3</v>
      </c>
      <c r="C73">
        <v>1769510467.26123</v>
      </c>
      <c r="D73">
        <v>1769510575.1759901</v>
      </c>
      <c r="E73">
        <v>107.914757499961</v>
      </c>
      <c r="F73">
        <v>1769510080</v>
      </c>
      <c r="G73">
        <v>1769510137</v>
      </c>
      <c r="H73">
        <v>57.972999999999999</v>
      </c>
      <c r="I73">
        <v>49.941757499961199</v>
      </c>
      <c r="J73">
        <v>49.941757499961199</v>
      </c>
      <c r="K73">
        <v>60.211504757935998</v>
      </c>
      <c r="L73">
        <v>438.17599248886103</v>
      </c>
      <c r="M73">
        <v>438.17599248886103</v>
      </c>
      <c r="N73" s="3">
        <v>2.4762555979472901E-5</v>
      </c>
      <c r="O73" s="2">
        <v>46049.44522292824</v>
      </c>
      <c r="P73" s="2">
        <v>46049.446471944444</v>
      </c>
      <c r="Q73" s="1" t="s">
        <v>91</v>
      </c>
      <c r="R73" s="1" t="s">
        <v>96</v>
      </c>
      <c r="T73">
        <f t="shared" si="1"/>
        <v>-49.941757499961</v>
      </c>
    </row>
    <row r="74" spans="1:20" x14ac:dyDescent="0.3">
      <c r="A74">
        <v>73</v>
      </c>
      <c r="B74">
        <v>2</v>
      </c>
      <c r="C74">
        <v>1769510467.2814701</v>
      </c>
      <c r="D74">
        <v>1769510575.1778901</v>
      </c>
      <c r="E74">
        <v>107.896418848837</v>
      </c>
      <c r="F74">
        <v>1769510083</v>
      </c>
      <c r="G74">
        <v>1769510144</v>
      </c>
      <c r="H74">
        <v>60.728000000000002</v>
      </c>
      <c r="I74">
        <v>47.168418848837398</v>
      </c>
      <c r="J74">
        <v>47.168418848837398</v>
      </c>
      <c r="K74">
        <v>55.9449445944378</v>
      </c>
      <c r="L74">
        <v>431.177893161773</v>
      </c>
      <c r="M74">
        <v>431.177893161773</v>
      </c>
      <c r="N74" s="3">
        <v>2.43670736837017E-5</v>
      </c>
      <c r="O74" s="2">
        <v>46049.445223159724</v>
      </c>
      <c r="P74" s="2">
        <v>46049.446471967596</v>
      </c>
      <c r="Q74" s="1" t="s">
        <v>92</v>
      </c>
      <c r="R74" s="1" t="s">
        <v>97</v>
      </c>
      <c r="T74">
        <f t="shared" si="1"/>
        <v>-47.168418848837</v>
      </c>
    </row>
    <row r="75" spans="1:20" x14ac:dyDescent="0.3">
      <c r="A75">
        <v>74</v>
      </c>
      <c r="B75">
        <v>4</v>
      </c>
      <c r="C75">
        <v>1769510467.29512</v>
      </c>
      <c r="D75">
        <v>1769510575.1960101</v>
      </c>
      <c r="E75">
        <v>107.900885909382</v>
      </c>
      <c r="F75">
        <v>1769510087</v>
      </c>
      <c r="G75">
        <v>1769510145</v>
      </c>
      <c r="H75">
        <v>58.234000000000002</v>
      </c>
      <c r="I75">
        <v>49.666885909382401</v>
      </c>
      <c r="J75">
        <v>49.666885909382401</v>
      </c>
      <c r="K75">
        <v>59.791037430239598</v>
      </c>
      <c r="L75">
        <v>430.19601082801802</v>
      </c>
      <c r="M75">
        <v>430.19601082801802</v>
      </c>
      <c r="N75" s="3">
        <v>2.4311584748460598E-5</v>
      </c>
      <c r="O75" s="2">
        <v>46049.44522332176</v>
      </c>
      <c r="P75" s="2">
        <v>46049.446472175929</v>
      </c>
      <c r="Q75" s="1" t="s">
        <v>93</v>
      </c>
      <c r="R75" s="1" t="s">
        <v>98</v>
      </c>
      <c r="T75">
        <f t="shared" si="1"/>
        <v>-49.666885909381996</v>
      </c>
    </row>
    <row r="76" spans="1:20" x14ac:dyDescent="0.3">
      <c r="A76">
        <v>75</v>
      </c>
      <c r="B76">
        <v>5</v>
      </c>
      <c r="C76">
        <v>1769510467.3317101</v>
      </c>
      <c r="D76">
        <v>1769510575.2251699</v>
      </c>
      <c r="E76">
        <v>107.89346275104801</v>
      </c>
      <c r="F76">
        <v>1769510110</v>
      </c>
      <c r="G76">
        <v>1769510174</v>
      </c>
      <c r="H76">
        <v>63.765999999999998</v>
      </c>
      <c r="I76">
        <v>44.1274627510481</v>
      </c>
      <c r="J76">
        <v>44.1274627510481</v>
      </c>
      <c r="K76">
        <v>51.412793729926399</v>
      </c>
      <c r="L76">
        <v>401.22517609596201</v>
      </c>
      <c r="M76">
        <v>401.22517609596201</v>
      </c>
      <c r="N76" s="3">
        <v>2.2674361329122201E-5</v>
      </c>
      <c r="O76" s="2">
        <v>46049.445223750001</v>
      </c>
      <c r="P76" s="2">
        <v>46049.446472511576</v>
      </c>
      <c r="Q76" s="1" t="s">
        <v>94</v>
      </c>
      <c r="R76" s="1" t="s">
        <v>99</v>
      </c>
      <c r="T76">
        <f t="shared" si="1"/>
        <v>-44.127462751048007</v>
      </c>
    </row>
    <row r="77" spans="1:20" x14ac:dyDescent="0.3">
      <c r="A77">
        <v>76</v>
      </c>
      <c r="B77">
        <v>1</v>
      </c>
      <c r="C77">
        <v>1769510575.1468101</v>
      </c>
      <c r="D77">
        <v>1769510683.06024</v>
      </c>
      <c r="E77">
        <v>107.91343317026799</v>
      </c>
      <c r="F77">
        <v>1769510134</v>
      </c>
      <c r="G77">
        <v>1769510191</v>
      </c>
      <c r="H77">
        <v>57.341999999999999</v>
      </c>
      <c r="I77">
        <v>50.571433170268598</v>
      </c>
      <c r="J77">
        <v>50.571433170268598</v>
      </c>
      <c r="K77">
        <v>61.203958260377497</v>
      </c>
      <c r="L77">
        <v>492.06024551391602</v>
      </c>
      <c r="M77">
        <v>492.06024551391602</v>
      </c>
      <c r="N77" s="3">
        <v>2.7807705183122301E-5</v>
      </c>
      <c r="O77" s="2">
        <v>46049.446471608797</v>
      </c>
      <c r="P77" s="2">
        <v>46049.447720601849</v>
      </c>
      <c r="Q77" s="1" t="s">
        <v>95</v>
      </c>
      <c r="R77" s="1" t="s">
        <v>100</v>
      </c>
      <c r="T77">
        <f t="shared" si="1"/>
        <v>-50.571433170267994</v>
      </c>
    </row>
    <row r="78" spans="1:20" x14ac:dyDescent="0.3">
      <c r="A78">
        <v>77</v>
      </c>
      <c r="B78">
        <v>3</v>
      </c>
      <c r="C78">
        <v>1769510575.1759901</v>
      </c>
      <c r="D78">
        <v>1769510683.0875299</v>
      </c>
      <c r="E78">
        <v>107.911546295851</v>
      </c>
      <c r="F78">
        <v>1769510137</v>
      </c>
      <c r="G78">
        <v>1769510196</v>
      </c>
      <c r="H78">
        <v>58.143000000000001</v>
      </c>
      <c r="I78">
        <v>49.768546295851102</v>
      </c>
      <c r="J78">
        <v>49.768546295851102</v>
      </c>
      <c r="K78">
        <v>59.942407366770802</v>
      </c>
      <c r="L78">
        <v>487.08753871917702</v>
      </c>
      <c r="M78">
        <v>487.08753871917702</v>
      </c>
      <c r="N78" s="3">
        <v>2.7526683529754201E-5</v>
      </c>
      <c r="O78" s="2">
        <v>46049.446471944444</v>
      </c>
      <c r="P78" s="2">
        <v>46049.447720925928</v>
      </c>
      <c r="Q78" s="1" t="s">
        <v>96</v>
      </c>
      <c r="R78" s="1" t="s">
        <v>101</v>
      </c>
      <c r="T78">
        <f t="shared" si="1"/>
        <v>-49.768546295850996</v>
      </c>
    </row>
    <row r="79" spans="1:20" x14ac:dyDescent="0.3">
      <c r="A79">
        <v>78</v>
      </c>
      <c r="B79">
        <v>2</v>
      </c>
      <c r="C79">
        <v>1769510575.1778901</v>
      </c>
      <c r="D79">
        <v>1769510683.05968</v>
      </c>
      <c r="E79">
        <v>107.881789914932</v>
      </c>
      <c r="F79">
        <v>1769510144</v>
      </c>
      <c r="G79">
        <v>1769510205</v>
      </c>
      <c r="H79">
        <v>61.426000000000002</v>
      </c>
      <c r="I79">
        <v>46.455789914931998</v>
      </c>
      <c r="J79">
        <v>46.455789914931998</v>
      </c>
      <c r="K79">
        <v>54.8773212836497</v>
      </c>
      <c r="L79">
        <v>478.05968308448701</v>
      </c>
      <c r="M79">
        <v>478.05968308448701</v>
      </c>
      <c r="N79" s="3">
        <v>2.70164940081261E-5</v>
      </c>
      <c r="O79" s="2">
        <v>46049.446471967596</v>
      </c>
      <c r="P79" s="2">
        <v>46049.447720601849</v>
      </c>
      <c r="Q79" s="1" t="s">
        <v>97</v>
      </c>
      <c r="R79" s="1" t="s">
        <v>102</v>
      </c>
      <c r="T79">
        <f t="shared" si="1"/>
        <v>-46.455789914931998</v>
      </c>
    </row>
    <row r="80" spans="1:20" x14ac:dyDescent="0.3">
      <c r="A80">
        <v>79</v>
      </c>
      <c r="B80">
        <v>4</v>
      </c>
      <c r="C80">
        <v>1769510575.1960101</v>
      </c>
      <c r="D80">
        <v>1769510683.1152999</v>
      </c>
      <c r="E80">
        <v>107.91929374361899</v>
      </c>
      <c r="F80">
        <v>1769510145</v>
      </c>
      <c r="G80">
        <v>1769510206</v>
      </c>
      <c r="H80">
        <v>60.689</v>
      </c>
      <c r="I80">
        <v>47.230293743619796</v>
      </c>
      <c r="J80">
        <v>47.230293743619796</v>
      </c>
      <c r="K80">
        <v>56.023689813784102</v>
      </c>
      <c r="L80">
        <v>477.11530447006197</v>
      </c>
      <c r="M80">
        <v>477.11530447006197</v>
      </c>
      <c r="N80" s="3">
        <v>2.69631245148899E-5</v>
      </c>
      <c r="O80" s="2">
        <v>46049.446472175929</v>
      </c>
      <c r="P80" s="2">
        <v>46049.447721238423</v>
      </c>
      <c r="Q80" s="1" t="s">
        <v>98</v>
      </c>
      <c r="R80" s="1" t="s">
        <v>103</v>
      </c>
      <c r="T80">
        <f t="shared" si="1"/>
        <v>-47.230293743618994</v>
      </c>
    </row>
    <row r="81" spans="1:20" x14ac:dyDescent="0.3">
      <c r="A81">
        <v>80</v>
      </c>
      <c r="B81">
        <v>5</v>
      </c>
      <c r="C81">
        <v>1769510575.2251699</v>
      </c>
      <c r="D81">
        <v>1769510683.13077</v>
      </c>
      <c r="E81">
        <v>107.905599648536</v>
      </c>
      <c r="F81">
        <v>1769510174</v>
      </c>
      <c r="G81">
        <v>1769510236</v>
      </c>
      <c r="H81">
        <v>62.069000000000003</v>
      </c>
      <c r="I81">
        <v>45.836599648536101</v>
      </c>
      <c r="J81">
        <v>45.836599648536101</v>
      </c>
      <c r="K81">
        <v>53.933469757616002</v>
      </c>
      <c r="L81">
        <v>447.130775690078</v>
      </c>
      <c r="M81">
        <v>447.130775690078</v>
      </c>
      <c r="N81" s="3">
        <v>2.5268614450569499E-5</v>
      </c>
      <c r="O81" s="2">
        <v>46049.446472511576</v>
      </c>
      <c r="P81" s="2">
        <v>46049.44772142361</v>
      </c>
      <c r="Q81" s="1" t="s">
        <v>99</v>
      </c>
      <c r="R81" s="1" t="s">
        <v>104</v>
      </c>
      <c r="T81">
        <f t="shared" si="1"/>
        <v>-45.836599648535994</v>
      </c>
    </row>
    <row r="82" spans="1:20" x14ac:dyDescent="0.3">
      <c r="A82">
        <v>81</v>
      </c>
      <c r="B82">
        <v>2</v>
      </c>
      <c r="C82">
        <v>1769510683.05968</v>
      </c>
      <c r="D82">
        <v>1769510790.9718101</v>
      </c>
      <c r="E82">
        <v>107.91213514776101</v>
      </c>
      <c r="F82">
        <v>1769510191</v>
      </c>
      <c r="G82">
        <v>1769510250</v>
      </c>
      <c r="H82">
        <v>59.054000000000002</v>
      </c>
      <c r="I82">
        <v>48.858135147761899</v>
      </c>
      <c r="J82">
        <v>48.858135147761899</v>
      </c>
      <c r="K82">
        <v>58.524604530761103</v>
      </c>
      <c r="L82">
        <v>540.971818208694</v>
      </c>
      <c r="M82">
        <v>540.971818208694</v>
      </c>
      <c r="N82" s="3">
        <v>3.05718339589268E-5</v>
      </c>
      <c r="O82" s="2">
        <v>46049.447720601849</v>
      </c>
      <c r="P82" s="2">
        <v>46049.448969583333</v>
      </c>
      <c r="Q82" s="1" t="s">
        <v>100</v>
      </c>
      <c r="R82" s="1" t="s">
        <v>105</v>
      </c>
      <c r="T82">
        <f t="shared" si="1"/>
        <v>-48.858135147761004</v>
      </c>
    </row>
    <row r="83" spans="1:20" x14ac:dyDescent="0.3">
      <c r="A83">
        <v>82</v>
      </c>
      <c r="B83">
        <v>1</v>
      </c>
      <c r="C83">
        <v>1769510683.06024</v>
      </c>
      <c r="D83">
        <v>1769510790.9693999</v>
      </c>
      <c r="E83">
        <v>107.909156624245</v>
      </c>
      <c r="F83">
        <v>1769510196</v>
      </c>
      <c r="G83">
        <v>1769510253</v>
      </c>
      <c r="H83">
        <v>57.878999999999998</v>
      </c>
      <c r="I83">
        <v>50.030156624245002</v>
      </c>
      <c r="J83">
        <v>50.030156624245002</v>
      </c>
      <c r="K83">
        <v>60.354319202230101</v>
      </c>
      <c r="L83">
        <v>537.96940207481305</v>
      </c>
      <c r="M83">
        <v>537.96940207481305</v>
      </c>
      <c r="N83" s="3">
        <v>3.0402158980745799E-5</v>
      </c>
      <c r="O83" s="2">
        <v>46049.447720601849</v>
      </c>
      <c r="P83" s="2">
        <v>46049.448969548612</v>
      </c>
      <c r="Q83" s="1" t="s">
        <v>101</v>
      </c>
      <c r="R83" s="1" t="s">
        <v>106</v>
      </c>
      <c r="T83">
        <f t="shared" si="1"/>
        <v>-50.030156624245002</v>
      </c>
    </row>
    <row r="84" spans="1:20" x14ac:dyDescent="0.3">
      <c r="A84">
        <v>83</v>
      </c>
      <c r="B84">
        <v>3</v>
      </c>
      <c r="C84">
        <v>1769510683.0875299</v>
      </c>
      <c r="D84">
        <v>1769510790.98313</v>
      </c>
      <c r="E84">
        <v>107.895594775383</v>
      </c>
      <c r="F84">
        <v>1769510205</v>
      </c>
      <c r="G84">
        <v>1769510266</v>
      </c>
      <c r="H84">
        <v>60.573</v>
      </c>
      <c r="I84">
        <v>47.322594775383102</v>
      </c>
      <c r="J84">
        <v>47.322594775383102</v>
      </c>
      <c r="K84">
        <v>56.179722800534599</v>
      </c>
      <c r="L84">
        <v>524.98313355445805</v>
      </c>
      <c r="M84">
        <v>524.98313355445805</v>
      </c>
      <c r="N84" s="3">
        <v>2.9668268433643299E-5</v>
      </c>
      <c r="O84" s="2">
        <v>46049.447720925928</v>
      </c>
      <c r="P84" s="2">
        <v>46049.448969710647</v>
      </c>
      <c r="Q84" s="1" t="s">
        <v>102</v>
      </c>
      <c r="R84" s="1" t="s">
        <v>107</v>
      </c>
      <c r="T84">
        <f t="shared" si="1"/>
        <v>-47.322594775383003</v>
      </c>
    </row>
    <row r="85" spans="1:20" x14ac:dyDescent="0.3">
      <c r="A85">
        <v>84</v>
      </c>
      <c r="B85">
        <v>4</v>
      </c>
      <c r="C85">
        <v>1769510683.1152999</v>
      </c>
      <c r="D85">
        <v>1769510791.02544</v>
      </c>
      <c r="E85">
        <v>107.91013738499601</v>
      </c>
      <c r="F85">
        <v>1769510206</v>
      </c>
      <c r="G85">
        <v>1769510267</v>
      </c>
      <c r="H85">
        <v>60.661000000000001</v>
      </c>
      <c r="I85">
        <v>47.249137384995997</v>
      </c>
      <c r="J85">
        <v>47.249137384995997</v>
      </c>
      <c r="K85">
        <v>56.058395426359098</v>
      </c>
      <c r="L85">
        <v>524.02544188499405</v>
      </c>
      <c r="M85">
        <v>524.02544188499405</v>
      </c>
      <c r="N85" s="3">
        <v>2.96141465842177E-5</v>
      </c>
      <c r="O85" s="2">
        <v>46049.447721238423</v>
      </c>
      <c r="P85" s="2">
        <v>46049.448970196761</v>
      </c>
      <c r="Q85" s="1" t="s">
        <v>103</v>
      </c>
      <c r="R85" s="1" t="s">
        <v>108</v>
      </c>
      <c r="T85">
        <f t="shared" si="1"/>
        <v>-47.249137384996004</v>
      </c>
    </row>
    <row r="86" spans="1:20" x14ac:dyDescent="0.3">
      <c r="A86">
        <v>85</v>
      </c>
      <c r="B86">
        <v>5</v>
      </c>
      <c r="C86">
        <v>1769510683.13077</v>
      </c>
      <c r="D86">
        <v>1769510791.03759</v>
      </c>
      <c r="E86">
        <v>107.906816945519</v>
      </c>
      <c r="F86">
        <v>1769510236</v>
      </c>
      <c r="G86">
        <v>1769510301</v>
      </c>
      <c r="H86">
        <v>65.665999999999997</v>
      </c>
      <c r="I86">
        <v>42.240816945519803</v>
      </c>
      <c r="J86">
        <v>42.240816945519803</v>
      </c>
      <c r="K86">
        <v>48.672156952753902</v>
      </c>
      <c r="L86">
        <v>490.03759264945899</v>
      </c>
      <c r="M86">
        <v>490.03759264945899</v>
      </c>
      <c r="N86" s="3">
        <v>2.7693397688529701E-5</v>
      </c>
      <c r="O86" s="2">
        <v>46049.44772142361</v>
      </c>
      <c r="P86" s="2">
        <v>46049.448970347221</v>
      </c>
      <c r="Q86" s="1" t="s">
        <v>104</v>
      </c>
      <c r="R86" s="1" t="s">
        <v>109</v>
      </c>
      <c r="T86">
        <f t="shared" si="1"/>
        <v>-42.240816945519001</v>
      </c>
    </row>
    <row r="87" spans="1:20" x14ac:dyDescent="0.3">
      <c r="A87">
        <v>86</v>
      </c>
      <c r="B87">
        <v>1</v>
      </c>
      <c r="C87">
        <v>1769510790.9693999</v>
      </c>
      <c r="D87">
        <v>1769510898.8663001</v>
      </c>
      <c r="E87">
        <v>107.89690497444499</v>
      </c>
      <c r="F87">
        <v>1769510250</v>
      </c>
      <c r="G87">
        <v>1769510306</v>
      </c>
      <c r="H87">
        <v>55.856000000000002</v>
      </c>
      <c r="I87">
        <v>52.040904974445098</v>
      </c>
      <c r="J87">
        <v>52.040904974445098</v>
      </c>
      <c r="K87">
        <v>63.560283077196701</v>
      </c>
      <c r="L87">
        <v>592.86630702018704</v>
      </c>
      <c r="M87">
        <v>592.86630702018704</v>
      </c>
      <c r="N87" s="3">
        <v>3.3504535446409301E-5</v>
      </c>
      <c r="O87" s="2">
        <v>46049.448969548612</v>
      </c>
      <c r="P87" s="2">
        <v>46049.450218356484</v>
      </c>
      <c r="Q87" s="1" t="s">
        <v>105</v>
      </c>
      <c r="R87" s="1" t="s">
        <v>110</v>
      </c>
      <c r="T87">
        <f t="shared" si="1"/>
        <v>-52.040904974444992</v>
      </c>
    </row>
    <row r="88" spans="1:20" x14ac:dyDescent="0.3">
      <c r="A88">
        <v>87</v>
      </c>
      <c r="B88">
        <v>2</v>
      </c>
      <c r="C88">
        <v>1769510790.9718101</v>
      </c>
      <c r="D88">
        <v>1769510898.87293</v>
      </c>
      <c r="E88">
        <v>107.901120210998</v>
      </c>
      <c r="F88">
        <v>1769510253</v>
      </c>
      <c r="G88">
        <v>1769510310</v>
      </c>
      <c r="H88">
        <v>56.268000000000001</v>
      </c>
      <c r="I88">
        <v>51.6331202109983</v>
      </c>
      <c r="J88">
        <v>51.6331202109983</v>
      </c>
      <c r="K88">
        <v>62.9023535542334</v>
      </c>
      <c r="L88">
        <v>588.87293839454605</v>
      </c>
      <c r="M88">
        <v>588.87293839454605</v>
      </c>
      <c r="N88" s="3">
        <v>3.3278858963497602E-5</v>
      </c>
      <c r="O88" s="2">
        <v>46049.448969583333</v>
      </c>
      <c r="P88" s="2">
        <v>46049.450218437501</v>
      </c>
      <c r="Q88" s="1" t="s">
        <v>106</v>
      </c>
      <c r="R88" s="1" t="s">
        <v>111</v>
      </c>
      <c r="T88">
        <f t="shared" si="1"/>
        <v>-51.633120210998001</v>
      </c>
    </row>
    <row r="89" spans="1:20" x14ac:dyDescent="0.3">
      <c r="A89">
        <v>88</v>
      </c>
      <c r="B89">
        <v>3</v>
      </c>
      <c r="C89">
        <v>1769510790.98313</v>
      </c>
      <c r="D89">
        <v>1769510898.8908401</v>
      </c>
      <c r="E89">
        <v>107.907713609144</v>
      </c>
      <c r="F89">
        <v>1769510266</v>
      </c>
      <c r="G89">
        <v>1769510323</v>
      </c>
      <c r="H89">
        <v>57.844000000000001</v>
      </c>
      <c r="I89">
        <v>50.063713609144301</v>
      </c>
      <c r="J89">
        <v>50.063713609144301</v>
      </c>
      <c r="K89">
        <v>60.408079674154699</v>
      </c>
      <c r="L89">
        <v>575.89084720611504</v>
      </c>
      <c r="M89">
        <v>575.89084720611504</v>
      </c>
      <c r="N89" s="3">
        <v>3.2545204512700002E-5</v>
      </c>
      <c r="O89" s="2">
        <v>46049.448969710647</v>
      </c>
      <c r="P89" s="2">
        <v>46049.450218645834</v>
      </c>
      <c r="Q89" s="1" t="s">
        <v>107</v>
      </c>
      <c r="R89" s="1" t="s">
        <v>112</v>
      </c>
      <c r="T89">
        <f t="shared" si="1"/>
        <v>-50.063713609143996</v>
      </c>
    </row>
    <row r="90" spans="1:20" x14ac:dyDescent="0.3">
      <c r="A90">
        <v>89</v>
      </c>
      <c r="B90">
        <v>4</v>
      </c>
      <c r="C90">
        <v>1769510791.02544</v>
      </c>
      <c r="D90">
        <v>1769510898.9363101</v>
      </c>
      <c r="E90">
        <v>107.910872412884</v>
      </c>
      <c r="F90">
        <v>1769510267</v>
      </c>
      <c r="G90">
        <v>1769510324</v>
      </c>
      <c r="H90">
        <v>57.646000000000001</v>
      </c>
      <c r="I90">
        <v>50.264872412884898</v>
      </c>
      <c r="J90">
        <v>50.264872412884898</v>
      </c>
      <c r="K90">
        <v>60.722181665196601</v>
      </c>
      <c r="L90">
        <v>574.93631434440601</v>
      </c>
      <c r="M90">
        <v>574.93631434440601</v>
      </c>
      <c r="N90" s="3">
        <v>3.2491261177992202E-5</v>
      </c>
      <c r="O90" s="2">
        <v>46049.448970196761</v>
      </c>
      <c r="P90" s="2">
        <v>46049.450219166669</v>
      </c>
      <c r="Q90" s="1" t="s">
        <v>108</v>
      </c>
      <c r="R90" s="1" t="s">
        <v>113</v>
      </c>
      <c r="T90">
        <f t="shared" si="1"/>
        <v>-50.264872412884003</v>
      </c>
    </row>
    <row r="91" spans="1:20" x14ac:dyDescent="0.3">
      <c r="A91">
        <v>90</v>
      </c>
      <c r="B91">
        <v>5</v>
      </c>
      <c r="C91">
        <v>1769510791.03759</v>
      </c>
      <c r="D91">
        <v>1769510898.93243</v>
      </c>
      <c r="E91">
        <v>107.894842830388</v>
      </c>
      <c r="F91">
        <v>1769510301</v>
      </c>
      <c r="G91">
        <v>1769510364</v>
      </c>
      <c r="H91">
        <v>63.357999999999997</v>
      </c>
      <c r="I91">
        <v>44.536842830388302</v>
      </c>
      <c r="J91">
        <v>44.536842830388302</v>
      </c>
      <c r="K91">
        <v>52.0129676031111</v>
      </c>
      <c r="L91">
        <v>534.93243551254204</v>
      </c>
      <c r="M91">
        <v>534.93243551254204</v>
      </c>
      <c r="N91" s="3">
        <v>3.02305296165017E-5</v>
      </c>
      <c r="O91" s="2">
        <v>46049.448970347221</v>
      </c>
      <c r="P91" s="2">
        <v>46049.450219120372</v>
      </c>
      <c r="Q91" s="1" t="s">
        <v>109</v>
      </c>
      <c r="R91" s="1" t="s">
        <v>114</v>
      </c>
      <c r="T91">
        <f t="shared" si="1"/>
        <v>-44.536842830388004</v>
      </c>
    </row>
    <row r="92" spans="1:20" x14ac:dyDescent="0.3">
      <c r="A92">
        <v>91</v>
      </c>
      <c r="B92">
        <v>1</v>
      </c>
      <c r="C92">
        <v>1769510898.8663001</v>
      </c>
      <c r="D92">
        <v>1769511006.7623799</v>
      </c>
      <c r="E92">
        <v>107.896078499206</v>
      </c>
      <c r="F92">
        <v>1769510306</v>
      </c>
      <c r="G92">
        <v>1769510362</v>
      </c>
      <c r="H92">
        <v>56.703000000000003</v>
      </c>
      <c r="I92">
        <v>51.193078499206003</v>
      </c>
      <c r="J92">
        <v>51.193078499206003</v>
      </c>
      <c r="K92">
        <v>62.203359783029299</v>
      </c>
      <c r="L92">
        <v>644.76238560676495</v>
      </c>
      <c r="M92">
        <v>644.76238560676495</v>
      </c>
      <c r="N92" s="3">
        <v>3.6437326504883003E-5</v>
      </c>
      <c r="O92" s="2">
        <v>46049.450218356484</v>
      </c>
      <c r="P92" s="2">
        <v>46049.45146715278</v>
      </c>
      <c r="Q92" s="1" t="s">
        <v>110</v>
      </c>
      <c r="R92" s="1" t="s">
        <v>115</v>
      </c>
      <c r="T92">
        <f t="shared" si="1"/>
        <v>-51.193078499205996</v>
      </c>
    </row>
    <row r="93" spans="1:20" x14ac:dyDescent="0.3">
      <c r="A93">
        <v>92</v>
      </c>
      <c r="B93">
        <v>2</v>
      </c>
      <c r="C93">
        <v>1769510898.87293</v>
      </c>
      <c r="D93">
        <v>1769511006.7611599</v>
      </c>
      <c r="E93">
        <v>107.88822788574799</v>
      </c>
      <c r="F93">
        <v>1769510310</v>
      </c>
      <c r="G93">
        <v>1769510369</v>
      </c>
      <c r="H93">
        <v>59.008000000000003</v>
      </c>
      <c r="I93">
        <v>48.880227885748901</v>
      </c>
      <c r="J93">
        <v>48.880227885748901</v>
      </c>
      <c r="K93">
        <v>58.575593355184203</v>
      </c>
      <c r="L93">
        <v>637.76116633415199</v>
      </c>
      <c r="M93">
        <v>637.76116633415199</v>
      </c>
      <c r="N93" s="3">
        <v>3.6041667942566901E-5</v>
      </c>
      <c r="O93" s="2">
        <v>46049.450218437501</v>
      </c>
      <c r="P93" s="2">
        <v>46049.451467141203</v>
      </c>
      <c r="Q93" s="1" t="s">
        <v>111</v>
      </c>
      <c r="R93" s="1" t="s">
        <v>116</v>
      </c>
      <c r="T93">
        <f t="shared" si="1"/>
        <v>-48.880227885747992</v>
      </c>
    </row>
    <row r="94" spans="1:20" x14ac:dyDescent="0.3">
      <c r="A94">
        <v>93</v>
      </c>
      <c r="B94">
        <v>3</v>
      </c>
      <c r="C94">
        <v>1769510898.8908401</v>
      </c>
      <c r="D94">
        <v>1769511006.79444</v>
      </c>
      <c r="E94">
        <v>107.903598514603</v>
      </c>
      <c r="F94">
        <v>1769510323</v>
      </c>
      <c r="G94">
        <v>1769510380</v>
      </c>
      <c r="H94">
        <v>56.454999999999998</v>
      </c>
      <c r="I94">
        <v>51.448598514603503</v>
      </c>
      <c r="J94">
        <v>51.448598514603503</v>
      </c>
      <c r="K94">
        <v>62.605302040260703</v>
      </c>
      <c r="L94">
        <v>626.79444575309697</v>
      </c>
      <c r="M94">
        <v>626.79444575309697</v>
      </c>
      <c r="N94" s="3">
        <v>3.5421907767606403E-5</v>
      </c>
      <c r="O94" s="2">
        <v>46049.450218645834</v>
      </c>
      <c r="P94" s="2">
        <v>46049.451467523148</v>
      </c>
      <c r="Q94" s="1" t="s">
        <v>112</v>
      </c>
      <c r="R94" s="1" t="s">
        <v>117</v>
      </c>
      <c r="T94">
        <f t="shared" si="1"/>
        <v>-51.448598514603006</v>
      </c>
    </row>
    <row r="95" spans="1:20" x14ac:dyDescent="0.3">
      <c r="A95">
        <v>94</v>
      </c>
      <c r="B95">
        <v>5</v>
      </c>
      <c r="C95">
        <v>1769510898.93243</v>
      </c>
      <c r="D95">
        <v>1769511006.8447499</v>
      </c>
      <c r="E95">
        <v>107.91231491725701</v>
      </c>
      <c r="F95">
        <v>1769510324</v>
      </c>
      <c r="G95">
        <v>1769510383</v>
      </c>
      <c r="H95">
        <v>58.62</v>
      </c>
      <c r="I95">
        <v>49.292314917257301</v>
      </c>
      <c r="J95">
        <v>49.292314917257301</v>
      </c>
      <c r="K95">
        <v>59.198498431669002</v>
      </c>
      <c r="L95">
        <v>623.844750404357</v>
      </c>
      <c r="M95">
        <v>623.844750404357</v>
      </c>
      <c r="N95" s="3">
        <v>3.52552122004396E-5</v>
      </c>
      <c r="O95" s="2">
        <v>46049.450219120372</v>
      </c>
      <c r="P95" s="2">
        <v>46049.451468113424</v>
      </c>
      <c r="Q95" s="1" t="s">
        <v>113</v>
      </c>
      <c r="R95" s="1" t="s">
        <v>118</v>
      </c>
      <c r="T95">
        <f t="shared" si="1"/>
        <v>-49.292314917257009</v>
      </c>
    </row>
    <row r="96" spans="1:20" x14ac:dyDescent="0.3">
      <c r="A96">
        <v>95</v>
      </c>
      <c r="B96">
        <v>4</v>
      </c>
      <c r="C96">
        <v>1769510898.9363101</v>
      </c>
      <c r="D96">
        <v>1769511006.8468101</v>
      </c>
      <c r="E96">
        <v>107.910496826824</v>
      </c>
      <c r="F96">
        <v>1769510362</v>
      </c>
      <c r="G96">
        <v>1769510420</v>
      </c>
      <c r="H96">
        <v>58.02</v>
      </c>
      <c r="I96">
        <v>49.890496826824901</v>
      </c>
      <c r="J96">
        <v>49.890496826824901</v>
      </c>
      <c r="K96">
        <v>60.134210143291</v>
      </c>
      <c r="L96">
        <v>586.84681105613697</v>
      </c>
      <c r="M96">
        <v>586.84681105613697</v>
      </c>
      <c r="N96" s="3">
        <v>3.3164354790527703E-5</v>
      </c>
      <c r="O96" s="2">
        <v>46049.450219166669</v>
      </c>
      <c r="P96" s="2">
        <v>46049.451468136576</v>
      </c>
      <c r="Q96" s="1" t="s">
        <v>115</v>
      </c>
      <c r="R96" s="1" t="s">
        <v>119</v>
      </c>
      <c r="T96">
        <f t="shared" si="1"/>
        <v>-49.890496826823998</v>
      </c>
    </row>
    <row r="97" spans="1:20" x14ac:dyDescent="0.3">
      <c r="A97">
        <v>96</v>
      </c>
      <c r="B97">
        <v>2</v>
      </c>
      <c r="C97">
        <v>1769511006.7611599</v>
      </c>
      <c r="D97">
        <v>1769511095.0518301</v>
      </c>
      <c r="E97">
        <v>88.290673249250005</v>
      </c>
      <c r="F97">
        <v>1769510364</v>
      </c>
      <c r="G97">
        <v>1769510403</v>
      </c>
      <c r="H97">
        <v>39.575000000000003</v>
      </c>
      <c r="I97">
        <v>48.715673249250003</v>
      </c>
      <c r="J97">
        <v>48.715673249250003</v>
      </c>
      <c r="K97">
        <v>76.198203960945804</v>
      </c>
      <c r="L97">
        <v>692.05183959007195</v>
      </c>
      <c r="M97">
        <v>692.05183959007195</v>
      </c>
      <c r="N97" s="3">
        <v>3.9109784440192403E-5</v>
      </c>
      <c r="O97" s="2">
        <v>46049.451467141203</v>
      </c>
      <c r="P97" s="2">
        <v>46049.452489027775</v>
      </c>
      <c r="Q97" s="1" t="s">
        <v>114</v>
      </c>
      <c r="R97" s="1" t="s">
        <v>120</v>
      </c>
      <c r="T97">
        <f t="shared" si="1"/>
        <v>-48.715673249250003</v>
      </c>
    </row>
    <row r="98" spans="1:20" x14ac:dyDescent="0.3">
      <c r="A98">
        <v>97</v>
      </c>
      <c r="B98">
        <v>1</v>
      </c>
      <c r="C98">
        <v>1769511006.7623799</v>
      </c>
      <c r="D98">
        <v>1769511095.05305</v>
      </c>
      <c r="E98">
        <v>88.290673249250005</v>
      </c>
      <c r="F98">
        <v>1769510369</v>
      </c>
      <c r="G98">
        <v>1769510388</v>
      </c>
      <c r="H98">
        <v>19.050999999999998</v>
      </c>
      <c r="I98">
        <v>69.239673249250004</v>
      </c>
      <c r="J98">
        <v>69.239673249250004</v>
      </c>
      <c r="K98">
        <v>129.00800062707</v>
      </c>
      <c r="L98">
        <v>707.05305886268604</v>
      </c>
      <c r="M98">
        <v>707.05305886268604</v>
      </c>
      <c r="N98" s="3">
        <v>3.99575454542153E-5</v>
      </c>
      <c r="O98" s="2">
        <v>46049.45146715278</v>
      </c>
      <c r="P98" s="2">
        <v>46049.452489039351</v>
      </c>
      <c r="Q98" s="1" t="s">
        <v>116</v>
      </c>
      <c r="R98" s="1" t="s">
        <v>121</v>
      </c>
      <c r="T98">
        <f t="shared" si="1"/>
        <v>-69.239673249250004</v>
      </c>
    </row>
    <row r="99" spans="1:20" x14ac:dyDescent="0.3">
      <c r="N99" s="3"/>
      <c r="O99" s="2"/>
      <c r="P99" s="2"/>
      <c r="Q99" s="1"/>
      <c r="R99" s="1"/>
    </row>
    <row r="100" spans="1:20" x14ac:dyDescent="0.3">
      <c r="N100" s="3"/>
      <c r="O100" s="2"/>
      <c r="P100" s="2"/>
      <c r="Q100" s="1"/>
      <c r="R100" s="1"/>
    </row>
    <row r="101" spans="1:20" x14ac:dyDescent="0.3">
      <c r="N101" s="3"/>
      <c r="O101" s="2"/>
      <c r="P101" s="2"/>
      <c r="Q101" s="1"/>
      <c r="R101" s="1"/>
    </row>
    <row r="102" spans="1:20" x14ac:dyDescent="0.3">
      <c r="N102" s="3"/>
      <c r="O102" s="2"/>
      <c r="P102" s="2"/>
      <c r="Q102" s="1"/>
      <c r="R102" s="1"/>
    </row>
    <row r="103" spans="1:20" x14ac:dyDescent="0.3">
      <c r="N103" s="3"/>
      <c r="O103" s="2"/>
      <c r="P103" s="2"/>
      <c r="Q103" s="1"/>
      <c r="R103" s="1"/>
    </row>
    <row r="104" spans="1:20" x14ac:dyDescent="0.3">
      <c r="N104" s="3"/>
      <c r="O104" s="2"/>
      <c r="P104" s="2"/>
      <c r="Q104" s="1"/>
      <c r="R104" s="1"/>
    </row>
    <row r="105" spans="1:20" x14ac:dyDescent="0.3">
      <c r="N105" s="3"/>
      <c r="O105" s="2"/>
      <c r="P105" s="2"/>
      <c r="Q105" s="1"/>
      <c r="R105" s="1"/>
    </row>
    <row r="106" spans="1:20" x14ac:dyDescent="0.3">
      <c r="N106" s="3"/>
      <c r="O106" s="2"/>
      <c r="P106" s="2"/>
      <c r="Q106" s="1"/>
      <c r="R106" s="1"/>
    </row>
    <row r="107" spans="1:20" x14ac:dyDescent="0.3">
      <c r="N107" s="3"/>
      <c r="O107" s="2"/>
      <c r="P107" s="2"/>
      <c r="Q107" s="1"/>
      <c r="R107" s="1"/>
    </row>
    <row r="108" spans="1:20" x14ac:dyDescent="0.3">
      <c r="N108" s="3"/>
      <c r="O108" s="2"/>
      <c r="P108" s="2"/>
      <c r="Q108" s="1"/>
      <c r="R108" s="1"/>
    </row>
    <row r="109" spans="1:20" x14ac:dyDescent="0.3">
      <c r="N109" s="3"/>
      <c r="O109" s="2"/>
      <c r="P109" s="2"/>
      <c r="Q109" s="1"/>
      <c r="R109" s="1"/>
    </row>
    <row r="110" spans="1:20" x14ac:dyDescent="0.3">
      <c r="N110" s="3"/>
      <c r="O110" s="2"/>
      <c r="P110" s="2"/>
      <c r="Q110" s="1"/>
      <c r="R110" s="1"/>
    </row>
    <row r="111" spans="1:20" x14ac:dyDescent="0.3">
      <c r="N111" s="3"/>
      <c r="O111" s="2"/>
      <c r="P111" s="2"/>
      <c r="Q111" s="1"/>
      <c r="R111" s="1"/>
    </row>
    <row r="112" spans="1:20" x14ac:dyDescent="0.3">
      <c r="N112" s="3"/>
      <c r="O112" s="2"/>
      <c r="P112" s="2"/>
      <c r="Q112" s="1"/>
      <c r="R112" s="1"/>
    </row>
    <row r="113" spans="14:18" x14ac:dyDescent="0.3">
      <c r="N113" s="3"/>
      <c r="O113" s="2"/>
      <c r="P113" s="2"/>
      <c r="Q113" s="1"/>
      <c r="R113" s="1"/>
    </row>
    <row r="114" spans="14:18" x14ac:dyDescent="0.3">
      <c r="N114" s="3"/>
      <c r="O114" s="2"/>
      <c r="P114" s="2"/>
      <c r="Q114" s="1"/>
      <c r="R114" s="1"/>
    </row>
    <row r="115" spans="14:18" x14ac:dyDescent="0.3">
      <c r="N115" s="3"/>
      <c r="O115" s="2"/>
      <c r="P115" s="2"/>
      <c r="Q115" s="1"/>
      <c r="R115" s="1"/>
    </row>
    <row r="116" spans="14:18" x14ac:dyDescent="0.3">
      <c r="N116" s="3"/>
      <c r="O116" s="2"/>
      <c r="P116" s="2"/>
      <c r="Q116" s="1"/>
      <c r="R116" s="1"/>
    </row>
    <row r="117" spans="14:18" x14ac:dyDescent="0.3">
      <c r="N117" s="3"/>
      <c r="O117" s="2"/>
      <c r="P117" s="2"/>
      <c r="Q117" s="1"/>
      <c r="R117" s="1"/>
    </row>
    <row r="118" spans="14:18" x14ac:dyDescent="0.3">
      <c r="N118" s="3"/>
      <c r="O118" s="2"/>
      <c r="P118" s="2"/>
      <c r="Q118" s="1"/>
      <c r="R118" s="1"/>
    </row>
    <row r="119" spans="14:18" x14ac:dyDescent="0.3">
      <c r="N119" s="3"/>
      <c r="O119" s="2"/>
      <c r="P119" s="2"/>
      <c r="Q119" s="1"/>
      <c r="R119" s="1"/>
    </row>
    <row r="120" spans="14:18" x14ac:dyDescent="0.3">
      <c r="N120" s="3"/>
      <c r="O120" s="2"/>
      <c r="P120" s="2"/>
      <c r="Q120" s="1"/>
      <c r="R120" s="1"/>
    </row>
    <row r="121" spans="14:18" x14ac:dyDescent="0.3">
      <c r="N121" s="3"/>
      <c r="O121" s="2"/>
      <c r="P121" s="2"/>
      <c r="Q121" s="1"/>
      <c r="R121" s="1"/>
    </row>
    <row r="122" spans="14:18" x14ac:dyDescent="0.3">
      <c r="N122" s="3"/>
      <c r="O122" s="2"/>
      <c r="P122" s="2"/>
      <c r="Q122" s="1"/>
      <c r="R122" s="1"/>
    </row>
    <row r="123" spans="14:18" x14ac:dyDescent="0.3">
      <c r="N123" s="3"/>
      <c r="O123" s="2"/>
      <c r="P123" s="2"/>
      <c r="Q123" s="1"/>
      <c r="R123" s="1"/>
    </row>
    <row r="124" spans="14:18" x14ac:dyDescent="0.3">
      <c r="N124" s="3"/>
      <c r="O124" s="2"/>
      <c r="P124" s="2"/>
      <c r="Q124" s="1"/>
      <c r="R124" s="1"/>
    </row>
    <row r="125" spans="14:18" x14ac:dyDescent="0.3">
      <c r="N125" s="3"/>
      <c r="O125" s="2"/>
      <c r="P125" s="2"/>
      <c r="Q125" s="1"/>
      <c r="R125" s="1"/>
    </row>
    <row r="126" spans="14:18" x14ac:dyDescent="0.3">
      <c r="N126" s="3"/>
      <c r="O126" s="2"/>
      <c r="P126" s="2"/>
      <c r="Q126" s="1"/>
      <c r="R126" s="1"/>
    </row>
    <row r="127" spans="14:18" x14ac:dyDescent="0.3">
      <c r="N127" s="3"/>
      <c r="O127" s="2"/>
      <c r="P127" s="2"/>
      <c r="Q127" s="1"/>
      <c r="R127" s="1"/>
    </row>
    <row r="128" spans="14:18" x14ac:dyDescent="0.3">
      <c r="N128" s="3"/>
      <c r="O128" s="2"/>
      <c r="P128" s="2"/>
      <c r="Q128" s="1"/>
      <c r="R128" s="1"/>
    </row>
    <row r="129" spans="14:18" x14ac:dyDescent="0.3">
      <c r="N129" s="3"/>
      <c r="O129" s="2"/>
      <c r="P129" s="2"/>
      <c r="Q129" s="1"/>
      <c r="R129" s="1"/>
    </row>
    <row r="130" spans="14:18" x14ac:dyDescent="0.3">
      <c r="N130" s="3"/>
      <c r="O130" s="2"/>
      <c r="P130" s="2"/>
      <c r="Q130" s="1"/>
      <c r="R130" s="1"/>
    </row>
    <row r="131" spans="14:18" x14ac:dyDescent="0.3">
      <c r="N131" s="3"/>
      <c r="O131" s="2"/>
      <c r="P131" s="2"/>
      <c r="Q131" s="1"/>
      <c r="R131" s="1"/>
    </row>
    <row r="132" spans="14:18" x14ac:dyDescent="0.3">
      <c r="N132" s="3"/>
      <c r="O132" s="2"/>
      <c r="P132" s="2"/>
      <c r="Q132" s="1"/>
      <c r="R132" s="1"/>
    </row>
    <row r="133" spans="14:18" x14ac:dyDescent="0.3">
      <c r="N133" s="3"/>
      <c r="O133" s="2"/>
      <c r="P133" s="2"/>
      <c r="Q133" s="1"/>
      <c r="R133" s="1"/>
    </row>
    <row r="134" spans="14:18" x14ac:dyDescent="0.3">
      <c r="N134" s="3"/>
      <c r="O134" s="2"/>
      <c r="P134" s="2"/>
      <c r="Q134" s="1"/>
      <c r="R134" s="1"/>
    </row>
    <row r="135" spans="14:18" x14ac:dyDescent="0.3">
      <c r="N135" s="3"/>
      <c r="O135" s="2"/>
      <c r="P135" s="2"/>
      <c r="Q135" s="1"/>
      <c r="R135" s="1"/>
    </row>
    <row r="136" spans="14:18" x14ac:dyDescent="0.3">
      <c r="N136" s="3"/>
      <c r="O136" s="2"/>
      <c r="P136" s="2"/>
      <c r="Q136" s="1"/>
      <c r="R136" s="1"/>
    </row>
    <row r="137" spans="14:18" x14ac:dyDescent="0.3">
      <c r="N137" s="3"/>
      <c r="O137" s="2"/>
      <c r="P137" s="2"/>
      <c r="Q137" s="1"/>
      <c r="R137" s="1"/>
    </row>
    <row r="138" spans="14:18" x14ac:dyDescent="0.3">
      <c r="N138" s="3"/>
      <c r="O138" s="2"/>
      <c r="P138" s="2"/>
      <c r="Q138" s="1"/>
      <c r="R138" s="1"/>
    </row>
    <row r="139" spans="14:18" x14ac:dyDescent="0.3">
      <c r="N139" s="3"/>
      <c r="O139" s="2"/>
      <c r="P139" s="2"/>
      <c r="Q139" s="1"/>
      <c r="R139" s="1"/>
    </row>
    <row r="140" spans="14:18" x14ac:dyDescent="0.3">
      <c r="N140" s="3"/>
      <c r="O140" s="2"/>
      <c r="P140" s="2"/>
      <c r="Q140" s="1"/>
      <c r="R140" s="1"/>
    </row>
    <row r="141" spans="14:18" x14ac:dyDescent="0.3">
      <c r="N141" s="3"/>
      <c r="O141" s="2"/>
      <c r="P141" s="2"/>
      <c r="Q141" s="1"/>
      <c r="R141" s="1"/>
    </row>
    <row r="142" spans="14:18" x14ac:dyDescent="0.3">
      <c r="N142" s="3"/>
      <c r="O142" s="2"/>
      <c r="P142" s="2"/>
      <c r="Q142" s="1"/>
      <c r="R142" s="1"/>
    </row>
    <row r="143" spans="14:18" x14ac:dyDescent="0.3">
      <c r="N143" s="3"/>
      <c r="O143" s="2"/>
      <c r="P143" s="2"/>
      <c r="Q143" s="1"/>
      <c r="R143" s="1"/>
    </row>
    <row r="144" spans="14:18" x14ac:dyDescent="0.3">
      <c r="N144" s="3"/>
      <c r="O144" s="2"/>
      <c r="P144" s="2"/>
      <c r="Q144" s="1"/>
      <c r="R144" s="1"/>
    </row>
    <row r="145" spans="14:18" x14ac:dyDescent="0.3">
      <c r="N145" s="3"/>
      <c r="O145" s="2"/>
      <c r="P145" s="2"/>
      <c r="Q145" s="1"/>
      <c r="R145" s="1"/>
    </row>
    <row r="146" spans="14:18" x14ac:dyDescent="0.3">
      <c r="N146" s="3"/>
      <c r="O146" s="2"/>
      <c r="P146" s="2"/>
      <c r="Q146" s="1"/>
      <c r="R146" s="1"/>
    </row>
    <row r="147" spans="14:18" x14ac:dyDescent="0.3">
      <c r="N147" s="3"/>
      <c r="O147" s="2"/>
      <c r="P147" s="2"/>
      <c r="Q147" s="1"/>
      <c r="R147" s="1"/>
    </row>
    <row r="148" spans="14:18" x14ac:dyDescent="0.3">
      <c r="N148" s="3"/>
      <c r="O148" s="2"/>
      <c r="P148" s="2"/>
      <c r="Q148" s="1"/>
      <c r="R148" s="1"/>
    </row>
    <row r="149" spans="14:18" x14ac:dyDescent="0.3">
      <c r="N149" s="3"/>
      <c r="O149" s="2"/>
      <c r="P149" s="2"/>
      <c r="Q149" s="1"/>
      <c r="R149" s="1"/>
    </row>
    <row r="150" spans="14:18" x14ac:dyDescent="0.3">
      <c r="N150" s="3"/>
      <c r="O150" s="2"/>
      <c r="P150" s="2"/>
      <c r="Q150" s="1"/>
      <c r="R150" s="1"/>
    </row>
    <row r="151" spans="14:18" x14ac:dyDescent="0.3">
      <c r="N151" s="3"/>
      <c r="O151" s="2"/>
      <c r="P151" s="2"/>
      <c r="Q151" s="1"/>
      <c r="R151" s="1"/>
    </row>
    <row r="152" spans="14:18" x14ac:dyDescent="0.3">
      <c r="N152" s="3"/>
      <c r="O152" s="2"/>
      <c r="P152" s="2"/>
      <c r="Q152" s="1"/>
      <c r="R152" s="1"/>
    </row>
    <row r="153" spans="14:18" x14ac:dyDescent="0.3">
      <c r="N153" s="3"/>
      <c r="O153" s="2"/>
      <c r="P153" s="2"/>
      <c r="Q153" s="1"/>
      <c r="R153" s="1"/>
    </row>
    <row r="154" spans="14:18" x14ac:dyDescent="0.3">
      <c r="N154" s="3"/>
      <c r="O154" s="2"/>
      <c r="P154" s="2"/>
      <c r="Q154" s="1"/>
      <c r="R154" s="1"/>
    </row>
    <row r="155" spans="14:18" x14ac:dyDescent="0.3">
      <c r="N155" s="3"/>
      <c r="O155" s="2"/>
      <c r="P155" s="2"/>
      <c r="Q155" s="1"/>
      <c r="R155" s="1"/>
    </row>
    <row r="156" spans="14:18" x14ac:dyDescent="0.3">
      <c r="N156" s="3"/>
      <c r="O156" s="2"/>
      <c r="P156" s="2"/>
      <c r="Q156" s="1"/>
      <c r="R156" s="1"/>
    </row>
    <row r="157" spans="14:18" x14ac:dyDescent="0.3">
      <c r="N157" s="3"/>
      <c r="O157" s="2"/>
      <c r="P157" s="2"/>
      <c r="Q157" s="1"/>
      <c r="R157" s="1"/>
    </row>
    <row r="158" spans="14:18" x14ac:dyDescent="0.3">
      <c r="N158" s="3"/>
      <c r="O158" s="2"/>
      <c r="P158" s="2"/>
      <c r="Q158" s="1"/>
      <c r="R158" s="1"/>
    </row>
    <row r="159" spans="14:18" x14ac:dyDescent="0.3">
      <c r="N159" s="3"/>
      <c r="O159" s="2"/>
      <c r="P159" s="2"/>
      <c r="Q159" s="1"/>
      <c r="R159" s="1"/>
    </row>
    <row r="160" spans="14:18" x14ac:dyDescent="0.3">
      <c r="N160" s="3"/>
      <c r="O160" s="2"/>
      <c r="P160" s="2"/>
      <c r="Q160" s="1"/>
      <c r="R160" s="1"/>
    </row>
    <row r="161" spans="14:18" x14ac:dyDescent="0.3">
      <c r="N161" s="3"/>
      <c r="O161" s="2"/>
      <c r="P161" s="2"/>
      <c r="Q161" s="1"/>
      <c r="R161" s="1"/>
    </row>
    <row r="162" spans="14:18" x14ac:dyDescent="0.3">
      <c r="N162" s="3"/>
      <c r="O162" s="2"/>
      <c r="P162" s="2"/>
      <c r="Q162" s="1"/>
      <c r="R162" s="1"/>
    </row>
    <row r="163" spans="14:18" x14ac:dyDescent="0.3">
      <c r="N163" s="3"/>
      <c r="O163" s="2"/>
      <c r="P163" s="2"/>
      <c r="Q163" s="1"/>
      <c r="R163" s="1"/>
    </row>
    <row r="164" spans="14:18" x14ac:dyDescent="0.3">
      <c r="N164" s="3"/>
      <c r="O164" s="2"/>
      <c r="P164" s="2"/>
      <c r="Q164" s="1"/>
      <c r="R164" s="1"/>
    </row>
    <row r="165" spans="14:18" x14ac:dyDescent="0.3">
      <c r="N165" s="3"/>
      <c r="O165" s="2"/>
      <c r="P165" s="2"/>
      <c r="Q165" s="1"/>
      <c r="R165" s="1"/>
    </row>
    <row r="166" spans="14:18" x14ac:dyDescent="0.3">
      <c r="N166" s="3"/>
      <c r="O166" s="2"/>
      <c r="P166" s="2"/>
      <c r="Q166" s="1"/>
      <c r="R166" s="1"/>
    </row>
    <row r="167" spans="14:18" x14ac:dyDescent="0.3">
      <c r="N167" s="3"/>
      <c r="O167" s="2"/>
      <c r="P167" s="2"/>
      <c r="Q167" s="1"/>
      <c r="R167" s="1"/>
    </row>
    <row r="168" spans="14:18" x14ac:dyDescent="0.3">
      <c r="N168" s="3"/>
      <c r="O168" s="2"/>
      <c r="P168" s="2"/>
      <c r="Q168" s="1"/>
      <c r="R168" s="1"/>
    </row>
    <row r="169" spans="14:18" x14ac:dyDescent="0.3">
      <c r="N169" s="3"/>
      <c r="O169" s="2"/>
      <c r="P169" s="2"/>
      <c r="Q169" s="1"/>
      <c r="R169" s="1"/>
    </row>
    <row r="170" spans="14:18" x14ac:dyDescent="0.3">
      <c r="N170" s="3"/>
      <c r="O170" s="2"/>
      <c r="P170" s="2"/>
      <c r="Q170" s="1"/>
      <c r="R170" s="1"/>
    </row>
    <row r="171" spans="14:18" x14ac:dyDescent="0.3">
      <c r="N171" s="3"/>
      <c r="O171" s="2"/>
      <c r="P171" s="2"/>
      <c r="Q171" s="1"/>
      <c r="R171" s="1"/>
    </row>
    <row r="172" spans="14:18" x14ac:dyDescent="0.3">
      <c r="N172" s="3"/>
      <c r="O172" s="2"/>
      <c r="P172" s="2"/>
      <c r="Q172" s="1"/>
      <c r="R172" s="1"/>
    </row>
    <row r="173" spans="14:18" x14ac:dyDescent="0.3">
      <c r="N173" s="3"/>
      <c r="O173" s="2"/>
      <c r="P173" s="2"/>
      <c r="Q173" s="1"/>
      <c r="R173" s="1"/>
    </row>
    <row r="174" spans="14:18" x14ac:dyDescent="0.3">
      <c r="N174" s="3"/>
      <c r="O174" s="2"/>
      <c r="P174" s="2"/>
      <c r="Q174" s="1"/>
      <c r="R174" s="1"/>
    </row>
    <row r="175" spans="14:18" x14ac:dyDescent="0.3">
      <c r="N175" s="3"/>
      <c r="O175" s="2"/>
      <c r="P175" s="2"/>
      <c r="Q175" s="1"/>
      <c r="R175" s="1"/>
    </row>
    <row r="176" spans="14:18" x14ac:dyDescent="0.3">
      <c r="N176" s="3"/>
      <c r="O176" s="2"/>
      <c r="P176" s="2"/>
      <c r="Q176" s="1"/>
      <c r="R176" s="1"/>
    </row>
    <row r="177" spans="14:18" x14ac:dyDescent="0.3">
      <c r="N177" s="3"/>
      <c r="O177" s="2"/>
      <c r="P177" s="2"/>
      <c r="Q177" s="1"/>
      <c r="R177" s="1"/>
    </row>
    <row r="178" spans="14:18" x14ac:dyDescent="0.3">
      <c r="N178" s="3"/>
      <c r="O178" s="2"/>
      <c r="P178" s="2"/>
      <c r="Q178" s="1"/>
      <c r="R178" s="1"/>
    </row>
    <row r="179" spans="14:18" x14ac:dyDescent="0.3">
      <c r="N179" s="3"/>
      <c r="O179" s="2"/>
      <c r="P179" s="2"/>
      <c r="Q179" s="1"/>
      <c r="R179" s="1"/>
    </row>
    <row r="180" spans="14:18" x14ac:dyDescent="0.3">
      <c r="N180" s="3"/>
      <c r="O180" s="2"/>
      <c r="P180" s="2"/>
      <c r="Q180" s="1"/>
      <c r="R180" s="1"/>
    </row>
    <row r="181" spans="14:18" x14ac:dyDescent="0.3">
      <c r="N181" s="3"/>
      <c r="O181" s="2"/>
      <c r="P181" s="2"/>
      <c r="Q181" s="1"/>
      <c r="R181" s="1"/>
    </row>
    <row r="182" spans="14:18" x14ac:dyDescent="0.3">
      <c r="N182" s="3"/>
      <c r="O182" s="2"/>
      <c r="P182" s="2"/>
      <c r="Q182" s="1"/>
      <c r="R182" s="1"/>
    </row>
    <row r="183" spans="14:18" x14ac:dyDescent="0.3">
      <c r="N183" s="3"/>
      <c r="O183" s="2"/>
      <c r="P183" s="2"/>
      <c r="Q183" s="1"/>
      <c r="R183" s="1"/>
    </row>
    <row r="184" spans="14:18" x14ac:dyDescent="0.3">
      <c r="N184" s="3"/>
      <c r="O184" s="2"/>
      <c r="P184" s="2"/>
      <c r="Q184" s="1"/>
      <c r="R184" s="1"/>
    </row>
    <row r="185" spans="14:18" x14ac:dyDescent="0.3">
      <c r="N185" s="3"/>
      <c r="O185" s="2"/>
      <c r="P185" s="2"/>
      <c r="Q185" s="1"/>
      <c r="R185" s="1"/>
    </row>
    <row r="186" spans="14:18" x14ac:dyDescent="0.3">
      <c r="N186" s="3"/>
      <c r="O186" s="2"/>
      <c r="P186" s="2"/>
      <c r="Q186" s="1"/>
      <c r="R186" s="1"/>
    </row>
    <row r="187" spans="14:18" x14ac:dyDescent="0.3">
      <c r="N187" s="3"/>
      <c r="O187" s="2"/>
      <c r="P187" s="2"/>
      <c r="Q187" s="1"/>
      <c r="R187" s="1"/>
    </row>
    <row r="188" spans="14:18" x14ac:dyDescent="0.3">
      <c r="N188" s="3"/>
      <c r="O188" s="2"/>
      <c r="P188" s="2"/>
      <c r="Q188" s="1"/>
      <c r="R188" s="1"/>
    </row>
    <row r="189" spans="14:18" x14ac:dyDescent="0.3">
      <c r="N189" s="3"/>
      <c r="O189" s="2"/>
      <c r="P189" s="2"/>
      <c r="Q189" s="1"/>
      <c r="R189" s="1"/>
    </row>
    <row r="190" spans="14:18" x14ac:dyDescent="0.3">
      <c r="N190" s="3"/>
      <c r="O190" s="2"/>
      <c r="P190" s="2"/>
      <c r="Q190" s="1"/>
      <c r="R190" s="1"/>
    </row>
    <row r="191" spans="14:18" x14ac:dyDescent="0.3">
      <c r="N191" s="3"/>
      <c r="O191" s="2"/>
      <c r="P191" s="2"/>
      <c r="Q191" s="1"/>
      <c r="R191" s="1"/>
    </row>
    <row r="192" spans="14:18" x14ac:dyDescent="0.3">
      <c r="N192" s="3"/>
      <c r="O192" s="2"/>
      <c r="P192" s="2"/>
      <c r="Q192" s="1"/>
      <c r="R192" s="1"/>
    </row>
    <row r="193" spans="14:18" x14ac:dyDescent="0.3">
      <c r="N193" s="3"/>
      <c r="O193" s="2"/>
      <c r="P193" s="2"/>
      <c r="Q193" s="1"/>
      <c r="R193" s="1"/>
    </row>
    <row r="194" spans="14:18" x14ac:dyDescent="0.3">
      <c r="N194" s="3"/>
      <c r="O194" s="2"/>
      <c r="P194" s="2"/>
      <c r="Q194" s="1"/>
      <c r="R19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Michalowski</dc:creator>
  <cp:lastModifiedBy>Szymon Michalowski</cp:lastModifiedBy>
  <dcterms:created xsi:type="dcterms:W3CDTF">2015-06-05T18:19:34Z</dcterms:created>
  <dcterms:modified xsi:type="dcterms:W3CDTF">2026-06-18T11:33:26Z</dcterms:modified>
</cp:coreProperties>
</file>