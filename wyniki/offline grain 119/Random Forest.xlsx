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ce2b8ec1b16a9a7/Pulpit/Magisterka/Dane do pracy/Wyniki symulacji 1/offline grain 222/"/>
    </mc:Choice>
  </mc:AlternateContent>
  <xr:revisionPtr revIDLastSave="16" documentId="11_AD4DADEC636C813AC809E415181B7BC65BDEDD96" xr6:coauthVersionLast="47" xr6:coauthVersionMax="47" xr10:uidLastSave="{0E1455F8-5159-473F-8E36-122BD99FC599}"/>
  <bookViews>
    <workbookView xWindow="-108" yWindow="-108" windowWidth="23256" windowHeight="124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9" i="1" l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W2" i="1"/>
  <c r="V2" i="1"/>
  <c r="U2" i="1"/>
  <c r="T2" i="1"/>
  <c r="X2" i="1" l="1"/>
</calcChain>
</file>

<file path=xl/sharedStrings.xml><?xml version="1.0" encoding="utf-8"?>
<sst xmlns="http://schemas.openxmlformats.org/spreadsheetml/2006/main" count="259" uniqueCount="158">
  <si>
    <t>queue_position</t>
  </si>
  <si>
    <t>worker_id</t>
  </si>
  <si>
    <t>predicted_start_time</t>
  </si>
  <si>
    <t>predicted_end_time</t>
  </si>
  <si>
    <t>predicted_duration_seconds</t>
  </si>
  <si>
    <t>real_start_time</t>
  </si>
  <si>
    <t>real_end_time</t>
  </si>
  <si>
    <t>real_duration_seconds</t>
  </si>
  <si>
    <t>duration_error_seconds</t>
  </si>
  <si>
    <t>duration_abs_error_seconds</t>
  </si>
  <si>
    <t>duration_smape</t>
  </si>
  <si>
    <t>end_time_error_seconds</t>
  </si>
  <si>
    <t>end_time_abs_error_seconds</t>
  </si>
  <si>
    <t>end_time_smape</t>
  </si>
  <si>
    <t>predicted_start_datetime</t>
  </si>
  <si>
    <t>predicted_end_datetime</t>
  </si>
  <si>
    <t>real_start_datetime</t>
  </si>
  <si>
    <t>real_end_datetime</t>
  </si>
  <si>
    <t>9,03,2026  10:10:47</t>
  </si>
  <si>
    <t>9,03,2026  10:11:27</t>
  </si>
  <si>
    <t>9,03,2026  10:11:25</t>
  </si>
  <si>
    <t>9,03,2026  10:12:02</t>
  </si>
  <si>
    <t>9,03,2026  10:11:52</t>
  </si>
  <si>
    <t>9,03,2026  10:12:18</t>
  </si>
  <si>
    <t>9,03,2026  10:11:26</t>
  </si>
  <si>
    <t>9,03,2026  10:12:07</t>
  </si>
  <si>
    <t>9,03,2026  10:12:19</t>
  </si>
  <si>
    <t>9,03,2026  10:12:37</t>
  </si>
  <si>
    <t>9,03,2026  10:12:38</t>
  </si>
  <si>
    <t>9,03,2026  10:12:57</t>
  </si>
  <si>
    <t>9,03,2026  10:13:03</t>
  </si>
  <si>
    <t>9,03,2026  10:13:05</t>
  </si>
  <si>
    <t>9,03,2026  10:12:40</t>
  </si>
  <si>
    <t>9,03,2026  10:13:18</t>
  </si>
  <si>
    <t>9,03,2026  10:12:56</t>
  </si>
  <si>
    <t>9,03,2026  10:13:26</t>
  </si>
  <si>
    <t>9,03,2026  10:13:38</t>
  </si>
  <si>
    <t>9,03,2026  10:13:39</t>
  </si>
  <si>
    <t>9,03,2026  10:13:52</t>
  </si>
  <si>
    <t>9,03,2026  10:15:26</t>
  </si>
  <si>
    <t>9,03,2026  10:14:08</t>
  </si>
  <si>
    <t>9,03,2026  10:14:15</t>
  </si>
  <si>
    <t>9,03,2026  10:14:19</t>
  </si>
  <si>
    <t>9,03,2026  10:15:29</t>
  </si>
  <si>
    <t>9,03,2026  10:15:48</t>
  </si>
  <si>
    <t>9,03,2026  10:16:29</t>
  </si>
  <si>
    <t>9,03,2026  10:15:58</t>
  </si>
  <si>
    <t>9,03,2026  10:15:28</t>
  </si>
  <si>
    <t>9,03,2026  10:15:59</t>
  </si>
  <si>
    <t>9,03,2026  10:15:47</t>
  </si>
  <si>
    <t>9,03,2026  10:16:58</t>
  </si>
  <si>
    <t>9,03,2026  10:19:23</t>
  </si>
  <si>
    <t>9,03,2026  10:16:32</t>
  </si>
  <si>
    <t>9,03,2026  10:18:02</t>
  </si>
  <si>
    <t>9,03,2026  10:17:53</t>
  </si>
  <si>
    <t>9,03,2026  10:17:29</t>
  </si>
  <si>
    <t>9,03,2026  10:18:03</t>
  </si>
  <si>
    <t>9,03,2026  10:17:52</t>
  </si>
  <si>
    <t>9,03,2026  10:18:21</t>
  </si>
  <si>
    <t>9,03,2026  10:18:35</t>
  </si>
  <si>
    <t>9,03,2026  10:19:03</t>
  </si>
  <si>
    <t>9,03,2026  10:19:24</t>
  </si>
  <si>
    <t>9,03,2026  10:19:33</t>
  </si>
  <si>
    <t>9,03,2026  10:19:58</t>
  </si>
  <si>
    <t>9,03,2026  10:19:53</t>
  </si>
  <si>
    <t>9,03,2026  10:20:54</t>
  </si>
  <si>
    <t>9,03,2026  10:20:11</t>
  </si>
  <si>
    <t>9,03,2026  10:20:32</t>
  </si>
  <si>
    <t>9,03,2026  10:20:38</t>
  </si>
  <si>
    <t>9,03,2026  10:22:32</t>
  </si>
  <si>
    <t>9,03,2026  10:22:00</t>
  </si>
  <si>
    <t>9,03,2026  10:21:19</t>
  </si>
  <si>
    <t>9,03,2026  10:21:59</t>
  </si>
  <si>
    <t>9,03,2026  10:23:57</t>
  </si>
  <si>
    <t>9,03,2026  10:23:59</t>
  </si>
  <si>
    <t>9,03,2026  10:24:24</t>
  </si>
  <si>
    <t>9,03,2026  10:22:31</t>
  </si>
  <si>
    <t>9,03,2026  10:24:30</t>
  </si>
  <si>
    <t>9,03,2026  10:25:22</t>
  </si>
  <si>
    <t>9,03,2026  10:23:58</t>
  </si>
  <si>
    <t>9,03,2026  10:24:37</t>
  </si>
  <si>
    <t>9,03,2026  10:24:23</t>
  </si>
  <si>
    <t>9,03,2026  10:26:07</t>
  </si>
  <si>
    <t>9,03,2026  10:24:59</t>
  </si>
  <si>
    <t>9,03,2026  10:25:39</t>
  </si>
  <si>
    <t>9,03,2026  10:26:54</t>
  </si>
  <si>
    <t>9,03,2026  10:27:04</t>
  </si>
  <si>
    <t>9,03,2026  10:25:38</t>
  </si>
  <si>
    <t>9,03,2026  10:27:32</t>
  </si>
  <si>
    <t>9,03,2026  10:27:22</t>
  </si>
  <si>
    <t>9,03,2026  10:28:56</t>
  </si>
  <si>
    <t>9,03,2026  10:28:00</t>
  </si>
  <si>
    <t>9,03,2026  10:28:45</t>
  </si>
  <si>
    <t>9,03,2026  10:27:31</t>
  </si>
  <si>
    <t>9,03,2026  10:28:36</t>
  </si>
  <si>
    <t>9,03,2026  10:29:18</t>
  </si>
  <si>
    <t>9,03,2026  10:28:35</t>
  </si>
  <si>
    <t>9,03,2026  10:29:29</t>
  </si>
  <si>
    <t>9,03,2026  10:29:44</t>
  </si>
  <si>
    <t>9,03,2026  10:30:00</t>
  </si>
  <si>
    <t>9,03,2026  10:31:17</t>
  </si>
  <si>
    <t>9,03,2026  10:30:04</t>
  </si>
  <si>
    <t>9,03,2026  10:30:40</t>
  </si>
  <si>
    <t>9,03,2026  10:31:22</t>
  </si>
  <si>
    <t>9,03,2026  10:32:05</t>
  </si>
  <si>
    <t>9,03,2026  10:30:39</t>
  </si>
  <si>
    <t>9,03,2026  10:31:30</t>
  </si>
  <si>
    <t>9,03,2026  10:31:58</t>
  </si>
  <si>
    <t>9,03,2026  10:32:16</t>
  </si>
  <si>
    <t>9,03,2026  10:32:42</t>
  </si>
  <si>
    <t>9,03,2026  10:32:55</t>
  </si>
  <si>
    <t>9,03,2026  10:33:02</t>
  </si>
  <si>
    <t>9,03,2026  10:33:13</t>
  </si>
  <si>
    <t>9,03,2026  10:32:41</t>
  </si>
  <si>
    <t>9,03,2026  10:33:18</t>
  </si>
  <si>
    <t>9,03,2026  10:34:51</t>
  </si>
  <si>
    <t>9,03,2026  10:33:01</t>
  </si>
  <si>
    <t>9,03,2026  10:34:12</t>
  </si>
  <si>
    <t>9,03,2026  10:33:50</t>
  </si>
  <si>
    <t>9,03,2026  10:34:03</t>
  </si>
  <si>
    <t>9,03,2026  10:34:26</t>
  </si>
  <si>
    <t>9,03,2026  10:36:08</t>
  </si>
  <si>
    <t>9,03,2026  10:34:49</t>
  </si>
  <si>
    <t>9,03,2026  10:35:14</t>
  </si>
  <si>
    <t>9,03,2026  10:35:26</t>
  </si>
  <si>
    <t>9,03,2026  10:34:50</t>
  </si>
  <si>
    <t>9,03,2026  10:35:34</t>
  </si>
  <si>
    <t>9,03,2026  10:36:45</t>
  </si>
  <si>
    <t>9,03,2026  10:36:21</t>
  </si>
  <si>
    <t>9,03,2026  10:35:33</t>
  </si>
  <si>
    <t>9,03,2026  10:36:17</t>
  </si>
  <si>
    <t>9,03,2026  10:36:43</t>
  </si>
  <si>
    <t>9,03,2026  10:38:03</t>
  </si>
  <si>
    <t>9,03,2026  10:36:53</t>
  </si>
  <si>
    <t>9,03,2026  10:37:14</t>
  </si>
  <si>
    <t>9,03,2026  10:38:25</t>
  </si>
  <si>
    <t>9,03,2026  10:36:52</t>
  </si>
  <si>
    <t>9,03,2026  10:37:39</t>
  </si>
  <si>
    <t>9,03,2026  10:37:48</t>
  </si>
  <si>
    <t>9,03,2026  10:38:10</t>
  </si>
  <si>
    <t>9,03,2026  10:37:47</t>
  </si>
  <si>
    <t>9,03,2026  10:38:30</t>
  </si>
  <si>
    <t>9,03,2026  10:38:39</t>
  </si>
  <si>
    <t>9,03,2026  10:39:25</t>
  </si>
  <si>
    <t>9,03,2026  10:39:26</t>
  </si>
  <si>
    <t>9,03,2026  10:39:15</t>
  </si>
  <si>
    <t>9,03,2026  10:39:58</t>
  </si>
  <si>
    <t>9,03,2026  10:40:14</t>
  </si>
  <si>
    <t>9,03,2026  10:39:24</t>
  </si>
  <si>
    <t>9,03,2026  10:40:46</t>
  </si>
  <si>
    <t>9,03,2026  10:40:26</t>
  </si>
  <si>
    <t>9,03,2026  10:40:38</t>
  </si>
  <si>
    <t>9,03,2026  10:41:36</t>
  </si>
  <si>
    <t>residua</t>
  </si>
  <si>
    <t>średnie_res</t>
  </si>
  <si>
    <t>mediana_res</t>
  </si>
  <si>
    <t>pred_zawyzone</t>
  </si>
  <si>
    <t>pred_zanizone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</si>
</sst>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47" fontId="0" fillId="0" borderId="0" xfId="0" applyNumberFormat="1"/>
    <xf numFmtId="22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Real vs Predicted Random Forest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Predicted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</c:numCache>
            </c:numRef>
          </c:xVal>
          <c:yVal>
            <c:numRef>
              <c:f>Arkusz1!$E$2:$E$186</c:f>
              <c:numCache>
                <c:formatCode>General</c:formatCode>
                <c:ptCount val="185"/>
                <c:pt idx="0">
                  <c:v>63.570372827017898</c:v>
                </c:pt>
                <c:pt idx="1">
                  <c:v>58.245195114672299</c:v>
                </c:pt>
                <c:pt idx="2">
                  <c:v>85.600109900857007</c:v>
                </c:pt>
                <c:pt idx="3">
                  <c:v>68.7323228330701</c:v>
                </c:pt>
                <c:pt idx="4">
                  <c:v>54.642455677316399</c:v>
                </c:pt>
                <c:pt idx="5">
                  <c:v>42.2457347814819</c:v>
                </c:pt>
                <c:pt idx="6">
                  <c:v>50.632753677550099</c:v>
                </c:pt>
                <c:pt idx="7">
                  <c:v>62.325883479717902</c:v>
                </c:pt>
                <c:pt idx="8">
                  <c:v>64.279844480697093</c:v>
                </c:pt>
                <c:pt idx="9">
                  <c:v>35.778127452427498</c:v>
                </c:pt>
                <c:pt idx="10">
                  <c:v>51.086970772646303</c:v>
                </c:pt>
                <c:pt idx="11">
                  <c:v>71.546763619725894</c:v>
                </c:pt>
                <c:pt idx="12">
                  <c:v>38.766893671366503</c:v>
                </c:pt>
                <c:pt idx="13">
                  <c:v>52.515898177418002</c:v>
                </c:pt>
                <c:pt idx="14">
                  <c:v>66.219588391560393</c:v>
                </c:pt>
                <c:pt idx="15">
                  <c:v>73.037022551740904</c:v>
                </c:pt>
                <c:pt idx="16">
                  <c:v>46.336064590258601</c:v>
                </c:pt>
                <c:pt idx="17">
                  <c:v>38.6534523625891</c:v>
                </c:pt>
                <c:pt idx="18">
                  <c:v>108.484812182402</c:v>
                </c:pt>
                <c:pt idx="19">
                  <c:v>64.325527241840902</c:v>
                </c:pt>
                <c:pt idx="20">
                  <c:v>53.961698901833302</c:v>
                </c:pt>
                <c:pt idx="21">
                  <c:v>37.241389661255297</c:v>
                </c:pt>
                <c:pt idx="22">
                  <c:v>82.649911858095393</c:v>
                </c:pt>
                <c:pt idx="23">
                  <c:v>75.391786021485203</c:v>
                </c:pt>
                <c:pt idx="24">
                  <c:v>78.869486143557907</c:v>
                </c:pt>
                <c:pt idx="25">
                  <c:v>43.372124505922699</c:v>
                </c:pt>
                <c:pt idx="26">
                  <c:v>37.002441602496802</c:v>
                </c:pt>
                <c:pt idx="27">
                  <c:v>42.617203113751799</c:v>
                </c:pt>
                <c:pt idx="28">
                  <c:v>118.831020500063</c:v>
                </c:pt>
                <c:pt idx="29">
                  <c:v>37.5657501127572</c:v>
                </c:pt>
                <c:pt idx="30">
                  <c:v>96.150396853237893</c:v>
                </c:pt>
                <c:pt idx="31">
                  <c:v>74.967367392614904</c:v>
                </c:pt>
                <c:pt idx="32">
                  <c:v>41.169043566625803</c:v>
                </c:pt>
                <c:pt idx="33">
                  <c:v>33.617374566803797</c:v>
                </c:pt>
                <c:pt idx="34">
                  <c:v>32.981817337792897</c:v>
                </c:pt>
                <c:pt idx="35">
                  <c:v>70.940796687175606</c:v>
                </c:pt>
                <c:pt idx="36">
                  <c:v>42.668871837365202</c:v>
                </c:pt>
                <c:pt idx="37">
                  <c:v>52.6022913767181</c:v>
                </c:pt>
                <c:pt idx="38">
                  <c:v>38.511429387212303</c:v>
                </c:pt>
                <c:pt idx="39">
                  <c:v>41.948073601220301</c:v>
                </c:pt>
                <c:pt idx="40">
                  <c:v>31.7146498297238</c:v>
                </c:pt>
                <c:pt idx="41">
                  <c:v>60.575759171231603</c:v>
                </c:pt>
                <c:pt idx="42">
                  <c:v>85.906471191176195</c:v>
                </c:pt>
                <c:pt idx="43">
                  <c:v>47.115431537539898</c:v>
                </c:pt>
                <c:pt idx="44">
                  <c:v>31.149858962888601</c:v>
                </c:pt>
                <c:pt idx="45">
                  <c:v>40.014028066063297</c:v>
                </c:pt>
                <c:pt idx="46">
                  <c:v>129.41900266250201</c:v>
                </c:pt>
                <c:pt idx="47">
                  <c:v>109.187127942264</c:v>
                </c:pt>
                <c:pt idx="48">
                  <c:v>88.6073664203264</c:v>
                </c:pt>
                <c:pt idx="49">
                  <c:v>65.613627952909596</c:v>
                </c:pt>
                <c:pt idx="50">
                  <c:v>38.481572912367596</c:v>
                </c:pt>
                <c:pt idx="51">
                  <c:v>92.748757892035002</c:v>
                </c:pt>
                <c:pt idx="52">
                  <c:v>101.59876311295</c:v>
                </c:pt>
                <c:pt idx="53">
                  <c:v>133.35830612464301</c:v>
                </c:pt>
                <c:pt idx="54">
                  <c:v>91.888713982430502</c:v>
                </c:pt>
                <c:pt idx="55">
                  <c:v>74.419818589132703</c:v>
                </c:pt>
                <c:pt idx="56">
                  <c:v>42.525701485218498</c:v>
                </c:pt>
                <c:pt idx="57">
                  <c:v>116.42355852830499</c:v>
                </c:pt>
                <c:pt idx="58">
                  <c:v>45.418260745322002</c:v>
                </c:pt>
                <c:pt idx="59">
                  <c:v>82.029142427188205</c:v>
                </c:pt>
                <c:pt idx="60">
                  <c:v>132.81271644448199</c:v>
                </c:pt>
                <c:pt idx="61">
                  <c:v>108.609372554777</c:v>
                </c:pt>
                <c:pt idx="62">
                  <c:v>94.337747856312603</c:v>
                </c:pt>
                <c:pt idx="63">
                  <c:v>88.847543074491597</c:v>
                </c:pt>
                <c:pt idx="64">
                  <c:v>109.376742984926</c:v>
                </c:pt>
                <c:pt idx="65">
                  <c:v>47.406790199365403</c:v>
                </c:pt>
                <c:pt idx="66">
                  <c:v>81.700382394496302</c:v>
                </c:pt>
                <c:pt idx="67">
                  <c:v>55.750721351613102</c:v>
                </c:pt>
                <c:pt idx="68">
                  <c:v>110.937965706196</c:v>
                </c:pt>
                <c:pt idx="69">
                  <c:v>48.5526803312857</c:v>
                </c:pt>
                <c:pt idx="70">
                  <c:v>60.190897248668797</c:v>
                </c:pt>
                <c:pt idx="71">
                  <c:v>82.027691764312294</c:v>
                </c:pt>
                <c:pt idx="72">
                  <c:v>92.135446656910105</c:v>
                </c:pt>
                <c:pt idx="73">
                  <c:v>57.410545751311801</c:v>
                </c:pt>
                <c:pt idx="74">
                  <c:v>51.516438196524803</c:v>
                </c:pt>
                <c:pt idx="75">
                  <c:v>56.559358930359501</c:v>
                </c:pt>
                <c:pt idx="76">
                  <c:v>99.699760163799695</c:v>
                </c:pt>
                <c:pt idx="77">
                  <c:v>73.261962471640103</c:v>
                </c:pt>
                <c:pt idx="78">
                  <c:v>48.604786191693798</c:v>
                </c:pt>
                <c:pt idx="79">
                  <c:v>55.466638597161698</c:v>
                </c:pt>
                <c:pt idx="80">
                  <c:v>58.640529416891901</c:v>
                </c:pt>
                <c:pt idx="81">
                  <c:v>49.218626118343501</c:v>
                </c:pt>
                <c:pt idx="82">
                  <c:v>60.357148762118896</c:v>
                </c:pt>
                <c:pt idx="83">
                  <c:v>52.995831240247597</c:v>
                </c:pt>
                <c:pt idx="84">
                  <c:v>65.300213663283103</c:v>
                </c:pt>
                <c:pt idx="85">
                  <c:v>110.088388924461</c:v>
                </c:pt>
                <c:pt idx="86">
                  <c:v>49.4360123129998</c:v>
                </c:pt>
                <c:pt idx="87">
                  <c:v>57.213711994160697</c:v>
                </c:pt>
                <c:pt idx="88">
                  <c:v>39.6864242726284</c:v>
                </c:pt>
                <c:pt idx="89">
                  <c:v>34.654179624670398</c:v>
                </c:pt>
                <c:pt idx="90">
                  <c:v>122.07462235497</c:v>
                </c:pt>
                <c:pt idx="91">
                  <c:v>60.712000809818399</c:v>
                </c:pt>
                <c:pt idx="92">
                  <c:v>36.612930256352698</c:v>
                </c:pt>
                <c:pt idx="93">
                  <c:v>60.317762414402097</c:v>
                </c:pt>
                <c:pt idx="94">
                  <c:v>39.928354897185201</c:v>
                </c:pt>
                <c:pt idx="95">
                  <c:v>80.879338887193398</c:v>
                </c:pt>
                <c:pt idx="96">
                  <c:v>45.051275412167001</c:v>
                </c:pt>
                <c:pt idx="97">
                  <c:v>38.428228382629001</c:v>
                </c:pt>
                <c:pt idx="98">
                  <c:v>37.774189632778402</c:v>
                </c:pt>
                <c:pt idx="99">
                  <c:v>110.79244904737401</c:v>
                </c:pt>
                <c:pt idx="100">
                  <c:v>41.9562223235856</c:v>
                </c:pt>
                <c:pt idx="101">
                  <c:v>33.606007027017299</c:v>
                </c:pt>
                <c:pt idx="102">
                  <c:v>116.652919871636</c:v>
                </c:pt>
                <c:pt idx="103">
                  <c:v>67.996237378322505</c:v>
                </c:pt>
                <c:pt idx="104">
                  <c:v>53.4437192988295</c:v>
                </c:pt>
                <c:pt idx="105">
                  <c:v>40.448683009084299</c:v>
                </c:pt>
                <c:pt idx="106">
                  <c:v>59.750406893694297</c:v>
                </c:pt>
                <c:pt idx="107">
                  <c:v>48.918563329757198</c:v>
                </c:pt>
                <c:pt idx="108">
                  <c:v>62.276519288843403</c:v>
                </c:pt>
                <c:pt idx="109">
                  <c:v>66.469753819027304</c:v>
                </c:pt>
                <c:pt idx="110">
                  <c:v>44.4091441182062</c:v>
                </c:pt>
                <c:pt idx="111">
                  <c:v>45.904056453270499</c:v>
                </c:pt>
                <c:pt idx="112">
                  <c:v>55.470936219920297</c:v>
                </c:pt>
                <c:pt idx="113">
                  <c:v>46.015414426322899</c:v>
                </c:pt>
                <c:pt idx="114">
                  <c:v>242.58120979664301</c:v>
                </c:pt>
                <c:pt idx="115">
                  <c:v>64.576436123427001</c:v>
                </c:pt>
                <c:pt idx="116">
                  <c:v>67.600698975496599</c:v>
                </c:pt>
                <c:pt idx="117">
                  <c:v>57.560921922797299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C4-4DB9-A839-5E7BF45D5A20}"/>
            </c:ext>
          </c:extLst>
        </c:ser>
        <c:ser>
          <c:idx val="1"/>
          <c:order val="1"/>
          <c:tx>
            <c:v>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</c:numCache>
            </c:numRef>
          </c:xVal>
          <c:yVal>
            <c:numRef>
              <c:f>Arkusz1!$H$2:$H$186</c:f>
              <c:numCache>
                <c:formatCode>General</c:formatCode>
                <c:ptCount val="185"/>
                <c:pt idx="0">
                  <c:v>39.847000000000001</c:v>
                </c:pt>
                <c:pt idx="1">
                  <c:v>37.893000000000001</c:v>
                </c:pt>
                <c:pt idx="2">
                  <c:v>75.8</c:v>
                </c:pt>
                <c:pt idx="3">
                  <c:v>65.260000000000005</c:v>
                </c:pt>
                <c:pt idx="4">
                  <c:v>52.973999999999997</c:v>
                </c:pt>
                <c:pt idx="5">
                  <c:v>40.587000000000003</c:v>
                </c:pt>
                <c:pt idx="6">
                  <c:v>27.202999999999999</c:v>
                </c:pt>
                <c:pt idx="7">
                  <c:v>34.738999999999997</c:v>
                </c:pt>
                <c:pt idx="8">
                  <c:v>30.835000000000001</c:v>
                </c:pt>
                <c:pt idx="9">
                  <c:v>39.046999999999997</c:v>
                </c:pt>
                <c:pt idx="10">
                  <c:v>44.473999999999997</c:v>
                </c:pt>
                <c:pt idx="11">
                  <c:v>28.206</c:v>
                </c:pt>
                <c:pt idx="12">
                  <c:v>2.5779999999999998</c:v>
                </c:pt>
                <c:pt idx="13">
                  <c:v>38.183</c:v>
                </c:pt>
                <c:pt idx="14">
                  <c:v>29.25</c:v>
                </c:pt>
                <c:pt idx="15">
                  <c:v>34.893000000000001</c:v>
                </c:pt>
                <c:pt idx="16">
                  <c:v>33.551000000000002</c:v>
                </c:pt>
                <c:pt idx="17">
                  <c:v>33.956000000000003</c:v>
                </c:pt>
                <c:pt idx="18">
                  <c:v>120.52</c:v>
                </c:pt>
                <c:pt idx="19">
                  <c:v>30.582999999999998</c:v>
                </c:pt>
                <c:pt idx="20">
                  <c:v>35.950000000000003</c:v>
                </c:pt>
                <c:pt idx="21">
                  <c:v>26.917999999999999</c:v>
                </c:pt>
                <c:pt idx="22">
                  <c:v>80.146000000000001</c:v>
                </c:pt>
                <c:pt idx="23">
                  <c:v>92.787999999999997</c:v>
                </c:pt>
                <c:pt idx="24">
                  <c:v>130.32300000000001</c:v>
                </c:pt>
                <c:pt idx="25">
                  <c:v>32.110999999999997</c:v>
                </c:pt>
                <c:pt idx="26">
                  <c:v>31.187999999999999</c:v>
                </c:pt>
                <c:pt idx="27">
                  <c:v>70.463999999999999</c:v>
                </c:pt>
                <c:pt idx="28">
                  <c:v>204.852</c:v>
                </c:pt>
                <c:pt idx="29">
                  <c:v>32.878</c:v>
                </c:pt>
                <c:pt idx="30">
                  <c:v>92.933000000000007</c:v>
                </c:pt>
                <c:pt idx="31">
                  <c:v>80.352999999999994</c:v>
                </c:pt>
                <c:pt idx="32">
                  <c:v>30.995999999999999</c:v>
                </c:pt>
                <c:pt idx="33">
                  <c:v>34.664000000000001</c:v>
                </c:pt>
                <c:pt idx="34">
                  <c:v>28.068000000000001</c:v>
                </c:pt>
                <c:pt idx="35">
                  <c:v>33.451999999999998</c:v>
                </c:pt>
                <c:pt idx="36">
                  <c:v>59.23</c:v>
                </c:pt>
                <c:pt idx="37">
                  <c:v>63.006999999999998</c:v>
                </c:pt>
                <c:pt idx="38">
                  <c:v>48.828000000000003</c:v>
                </c:pt>
                <c:pt idx="39">
                  <c:v>30.416</c:v>
                </c:pt>
                <c:pt idx="40">
                  <c:v>35.201000000000001</c:v>
                </c:pt>
                <c:pt idx="41">
                  <c:v>30.437000000000001</c:v>
                </c:pt>
                <c:pt idx="42">
                  <c:v>90.41</c:v>
                </c:pt>
                <c:pt idx="43">
                  <c:v>37.186999999999998</c:v>
                </c:pt>
                <c:pt idx="44">
                  <c:v>39.094999999999999</c:v>
                </c:pt>
                <c:pt idx="45">
                  <c:v>39.363999999999997</c:v>
                </c:pt>
                <c:pt idx="46">
                  <c:v>140.96600000000001</c:v>
                </c:pt>
                <c:pt idx="47">
                  <c:v>88.820999999999998</c:v>
                </c:pt>
                <c:pt idx="48">
                  <c:v>82.004000000000005</c:v>
                </c:pt>
                <c:pt idx="49">
                  <c:v>24.875</c:v>
                </c:pt>
                <c:pt idx="50">
                  <c:v>41.027999999999999</c:v>
                </c:pt>
                <c:pt idx="51">
                  <c:v>118.265</c:v>
                </c:pt>
                <c:pt idx="52">
                  <c:v>119.389</c:v>
                </c:pt>
                <c:pt idx="53">
                  <c:v>144.33799999999999</c:v>
                </c:pt>
                <c:pt idx="54">
                  <c:v>118.134</c:v>
                </c:pt>
                <c:pt idx="55">
                  <c:v>84.88</c:v>
                </c:pt>
                <c:pt idx="56">
                  <c:v>39.204000000000001</c:v>
                </c:pt>
                <c:pt idx="57">
                  <c:v>103.16200000000001</c:v>
                </c:pt>
                <c:pt idx="58">
                  <c:v>29.131</c:v>
                </c:pt>
                <c:pt idx="59">
                  <c:v>61.146999999999998</c:v>
                </c:pt>
                <c:pt idx="60">
                  <c:v>114.723</c:v>
                </c:pt>
                <c:pt idx="61">
                  <c:v>101.61799999999999</c:v>
                </c:pt>
                <c:pt idx="62">
                  <c:v>113.67</c:v>
                </c:pt>
                <c:pt idx="63">
                  <c:v>75.174000000000007</c:v>
                </c:pt>
                <c:pt idx="64">
                  <c:v>121.727</c:v>
                </c:pt>
                <c:pt idx="65">
                  <c:v>56.145000000000003</c:v>
                </c:pt>
                <c:pt idx="66">
                  <c:v>82.858999999999995</c:v>
                </c:pt>
                <c:pt idx="67">
                  <c:v>64.257999999999996</c:v>
                </c:pt>
                <c:pt idx="68">
                  <c:v>77.992000000000004</c:v>
                </c:pt>
                <c:pt idx="69">
                  <c:v>53.945999999999998</c:v>
                </c:pt>
                <c:pt idx="70">
                  <c:v>58.57</c:v>
                </c:pt>
                <c:pt idx="71">
                  <c:v>64.150000000000006</c:v>
                </c:pt>
                <c:pt idx="72">
                  <c:v>118.616</c:v>
                </c:pt>
                <c:pt idx="73">
                  <c:v>34.582000000000001</c:v>
                </c:pt>
                <c:pt idx="74">
                  <c:v>55.661999999999999</c:v>
                </c:pt>
                <c:pt idx="75">
                  <c:v>82.242000000000004</c:v>
                </c:pt>
                <c:pt idx="76">
                  <c:v>121.71</c:v>
                </c:pt>
                <c:pt idx="77">
                  <c:v>50.738</c:v>
                </c:pt>
                <c:pt idx="78">
                  <c:v>40.99</c:v>
                </c:pt>
                <c:pt idx="79">
                  <c:v>54.497999999999998</c:v>
                </c:pt>
                <c:pt idx="80">
                  <c:v>71.611000000000004</c:v>
                </c:pt>
                <c:pt idx="81">
                  <c:v>57.381999999999998</c:v>
                </c:pt>
                <c:pt idx="82">
                  <c:v>56.749000000000002</c:v>
                </c:pt>
                <c:pt idx="83">
                  <c:v>56.865000000000002</c:v>
                </c:pt>
                <c:pt idx="84">
                  <c:v>36.167000000000002</c:v>
                </c:pt>
                <c:pt idx="85">
                  <c:v>115.643</c:v>
                </c:pt>
                <c:pt idx="86">
                  <c:v>70.22</c:v>
                </c:pt>
                <c:pt idx="87">
                  <c:v>36.491</c:v>
                </c:pt>
                <c:pt idx="88">
                  <c:v>45.317</c:v>
                </c:pt>
                <c:pt idx="89">
                  <c:v>36.069000000000003</c:v>
                </c:pt>
                <c:pt idx="90">
                  <c:v>125.39</c:v>
                </c:pt>
                <c:pt idx="91">
                  <c:v>37.015999999999998</c:v>
                </c:pt>
                <c:pt idx="92">
                  <c:v>48.18</c:v>
                </c:pt>
                <c:pt idx="93">
                  <c:v>37.222000000000001</c:v>
                </c:pt>
                <c:pt idx="94">
                  <c:v>43.173000000000002</c:v>
                </c:pt>
                <c:pt idx="95">
                  <c:v>91.207999999999998</c:v>
                </c:pt>
                <c:pt idx="96">
                  <c:v>55.259</c:v>
                </c:pt>
                <c:pt idx="97">
                  <c:v>43.234000000000002</c:v>
                </c:pt>
                <c:pt idx="98">
                  <c:v>34.659999999999997</c:v>
                </c:pt>
                <c:pt idx="99">
                  <c:v>106.506</c:v>
                </c:pt>
                <c:pt idx="100">
                  <c:v>31.963999999999999</c:v>
                </c:pt>
                <c:pt idx="101">
                  <c:v>31.568000000000001</c:v>
                </c:pt>
                <c:pt idx="102">
                  <c:v>99.703000000000003</c:v>
                </c:pt>
                <c:pt idx="103">
                  <c:v>46.564</c:v>
                </c:pt>
                <c:pt idx="104">
                  <c:v>33.265999999999998</c:v>
                </c:pt>
                <c:pt idx="105">
                  <c:v>31.469000000000001</c:v>
                </c:pt>
                <c:pt idx="106">
                  <c:v>42.173000000000002</c:v>
                </c:pt>
                <c:pt idx="107">
                  <c:v>35.731999999999999</c:v>
                </c:pt>
                <c:pt idx="108">
                  <c:v>74.179000000000002</c:v>
                </c:pt>
                <c:pt idx="109">
                  <c:v>61.030999999999999</c:v>
                </c:pt>
                <c:pt idx="110">
                  <c:v>45.182000000000002</c:v>
                </c:pt>
                <c:pt idx="111">
                  <c:v>36.713000000000001</c:v>
                </c:pt>
                <c:pt idx="112">
                  <c:v>42.341999999999999</c:v>
                </c:pt>
                <c:pt idx="113">
                  <c:v>59.795999999999999</c:v>
                </c:pt>
                <c:pt idx="114">
                  <c:v>81.757000000000005</c:v>
                </c:pt>
                <c:pt idx="115">
                  <c:v>59.981000000000002</c:v>
                </c:pt>
                <c:pt idx="116">
                  <c:v>40.228000000000002</c:v>
                </c:pt>
                <c:pt idx="117">
                  <c:v>81.537999999999997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C4-4DB9-A839-5E7BF45D5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61072"/>
        <c:axId val="194558192"/>
      </c:scatterChart>
      <c:valAx>
        <c:axId val="19456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58192"/>
        <c:crosses val="autoZero"/>
        <c:crossBetween val="midCat"/>
      </c:valAx>
      <c:valAx>
        <c:axId val="19455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61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563879</xdr:colOff>
      <xdr:row>4</xdr:row>
      <xdr:rowOff>41910</xdr:rowOff>
    </xdr:from>
    <xdr:to>
      <xdr:col>21</xdr:col>
      <xdr:colOff>573740</xdr:colOff>
      <xdr:row>30</xdr:row>
      <xdr:rowOff>71717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303A3A4-A865-1ABD-9F13-2F688DBC93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9"/>
  <sheetViews>
    <sheetView tabSelected="1" topLeftCell="D1" zoomScaleNormal="100" workbookViewId="0">
      <selection activeCell="W8" sqref="W8"/>
    </sheetView>
  </sheetViews>
  <sheetFormatPr defaultRowHeight="14.4" x14ac:dyDescent="0.3"/>
  <cols>
    <col min="21" max="21" width="12.44140625" bestFit="1" customWidth="1"/>
    <col min="22" max="22" width="11.88671875" bestFit="1" customWidth="1"/>
    <col min="23" max="23" width="14" bestFit="1" customWidth="1"/>
    <col min="24" max="24" width="13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t="s">
        <v>153</v>
      </c>
      <c r="U1" t="s">
        <v>154</v>
      </c>
      <c r="V1" t="s">
        <v>155</v>
      </c>
      <c r="W1" t="s">
        <v>156</v>
      </c>
      <c r="X1" t="s">
        <v>157</v>
      </c>
    </row>
    <row r="2" spans="1:24" x14ac:dyDescent="0.3">
      <c r="A2">
        <v>1</v>
      </c>
      <c r="B2">
        <v>1</v>
      </c>
      <c r="C2">
        <v>1773051047</v>
      </c>
      <c r="D2">
        <v>1773051110.57037</v>
      </c>
      <c r="E2">
        <v>63.570372827017898</v>
      </c>
      <c r="F2">
        <v>1773051047</v>
      </c>
      <c r="G2">
        <v>1773051087</v>
      </c>
      <c r="H2">
        <v>39.847000000000001</v>
      </c>
      <c r="I2">
        <v>23.723372827017901</v>
      </c>
      <c r="J2">
        <v>23.723372827017901</v>
      </c>
      <c r="K2">
        <v>45.878892836891197</v>
      </c>
      <c r="L2">
        <v>23.570372819900498</v>
      </c>
      <c r="M2">
        <v>23.570372819900498</v>
      </c>
      <c r="N2" s="1">
        <v>1.32936793733975E-6</v>
      </c>
      <c r="O2" s="2">
        <v>46090.424155092594</v>
      </c>
      <c r="P2" s="2">
        <v>46090.424890856484</v>
      </c>
      <c r="Q2" s="3" t="s">
        <v>18</v>
      </c>
      <c r="R2" s="3" t="s">
        <v>19</v>
      </c>
      <c r="T2">
        <f>H2-E2</f>
        <v>-23.723372827017897</v>
      </c>
      <c r="U2">
        <f>AVERAGE(T2:T119)</f>
        <v>-4.9905783552664822</v>
      </c>
      <c r="V2">
        <f>MEDIAN(T2:T119)</f>
        <v>-3.5402357975944945</v>
      </c>
      <c r="W2">
        <f>COUNTIF(T2:T119,"&lt;0")/COUNT(T2:T119)</f>
        <v>0.59322033898305082</v>
      </c>
      <c r="X2">
        <f>COUNTIF(T2:T119,"&gt;0")/COUNT(T2:T119)</f>
        <v>0.40677966101694918</v>
      </c>
    </row>
    <row r="3" spans="1:24" x14ac:dyDescent="0.3">
      <c r="A3">
        <v>2</v>
      </c>
      <c r="B3">
        <v>2</v>
      </c>
      <c r="C3">
        <v>1773051047</v>
      </c>
      <c r="D3">
        <v>1773051105.2451899</v>
      </c>
      <c r="E3">
        <v>58.245195114672299</v>
      </c>
      <c r="F3">
        <v>1773051047</v>
      </c>
      <c r="G3">
        <v>1773051085</v>
      </c>
      <c r="H3">
        <v>37.893000000000001</v>
      </c>
      <c r="I3">
        <v>20.352195114672298</v>
      </c>
      <c r="J3">
        <v>20.352195114672298</v>
      </c>
      <c r="K3">
        <v>42.339457466195398</v>
      </c>
      <c r="L3">
        <v>20.245195150375299</v>
      </c>
      <c r="M3">
        <v>20.245195150375299</v>
      </c>
      <c r="N3" s="1">
        <v>1.14182807286642E-6</v>
      </c>
      <c r="O3" s="2">
        <v>46090.424155092594</v>
      </c>
      <c r="P3" s="2">
        <v>46090.424829224539</v>
      </c>
      <c r="Q3" s="3" t="s">
        <v>18</v>
      </c>
      <c r="R3" s="3" t="s">
        <v>20</v>
      </c>
      <c r="T3">
        <f t="shared" ref="T3:T66" si="0">H3-E3</f>
        <v>-20.352195114672298</v>
      </c>
    </row>
    <row r="4" spans="1:24" x14ac:dyDescent="0.3">
      <c r="A4">
        <v>3</v>
      </c>
      <c r="B4">
        <v>3</v>
      </c>
      <c r="C4">
        <v>1773051047</v>
      </c>
      <c r="D4">
        <v>1773051132.6001</v>
      </c>
      <c r="E4">
        <v>85.600109900857007</v>
      </c>
      <c r="F4">
        <v>1773051047</v>
      </c>
      <c r="G4">
        <v>1773051122</v>
      </c>
      <c r="H4">
        <v>75.8</v>
      </c>
      <c r="I4">
        <v>9.8001099008570591</v>
      </c>
      <c r="J4">
        <v>9.8001099008570591</v>
      </c>
      <c r="K4">
        <v>12.143870170691899</v>
      </c>
      <c r="L4">
        <v>10.6001098155975</v>
      </c>
      <c r="M4">
        <v>10.6001098155975</v>
      </c>
      <c r="N4" s="1">
        <v>5.9784569392192502E-7</v>
      </c>
      <c r="O4" s="2">
        <v>46090.424155092594</v>
      </c>
      <c r="P4" s="2">
        <v>46090.425145833331</v>
      </c>
      <c r="Q4" s="3" t="s">
        <v>18</v>
      </c>
      <c r="R4" s="3" t="s">
        <v>21</v>
      </c>
      <c r="T4">
        <f t="shared" si="0"/>
        <v>-9.8001099008570094</v>
      </c>
    </row>
    <row r="5" spans="1:24" x14ac:dyDescent="0.3">
      <c r="A5">
        <v>4</v>
      </c>
      <c r="B5">
        <v>4</v>
      </c>
      <c r="C5">
        <v>1773051047</v>
      </c>
      <c r="D5">
        <v>1773051115.7323201</v>
      </c>
      <c r="E5">
        <v>68.7323228330701</v>
      </c>
      <c r="F5">
        <v>1773051047</v>
      </c>
      <c r="G5">
        <v>1773051112</v>
      </c>
      <c r="H5">
        <v>65.260000000000005</v>
      </c>
      <c r="I5">
        <v>3.4723228330700899</v>
      </c>
      <c r="J5">
        <v>3.4723228330700899</v>
      </c>
      <c r="K5">
        <v>5.1828683310400896</v>
      </c>
      <c r="L5">
        <v>3.7323229312896702</v>
      </c>
      <c r="M5">
        <v>3.7323229312896702</v>
      </c>
      <c r="N5" s="1">
        <v>2.10502838981967E-7</v>
      </c>
      <c r="O5" s="2">
        <v>46090.424155092594</v>
      </c>
      <c r="P5" s="2">
        <v>46090.424950601853</v>
      </c>
      <c r="Q5" s="3" t="s">
        <v>18</v>
      </c>
      <c r="R5" s="3" t="s">
        <v>22</v>
      </c>
      <c r="T5">
        <f t="shared" si="0"/>
        <v>-3.4723228330700948</v>
      </c>
    </row>
    <row r="6" spans="1:24" x14ac:dyDescent="0.3">
      <c r="A6">
        <v>5</v>
      </c>
      <c r="B6">
        <v>2</v>
      </c>
      <c r="C6">
        <v>1773051105.2451899</v>
      </c>
      <c r="D6">
        <v>1773051159.88765</v>
      </c>
      <c r="E6">
        <v>54.642455677316399</v>
      </c>
      <c r="F6">
        <v>1773051085</v>
      </c>
      <c r="G6">
        <v>1773051138</v>
      </c>
      <c r="H6">
        <v>52.973999999999997</v>
      </c>
      <c r="I6">
        <v>1.6684556773164301</v>
      </c>
      <c r="J6">
        <v>1.6684556773164301</v>
      </c>
      <c r="K6">
        <v>3.10074452241621</v>
      </c>
      <c r="L6">
        <v>21.887650728225701</v>
      </c>
      <c r="M6">
        <v>21.887650728225701</v>
      </c>
      <c r="N6" s="1">
        <v>1.2344624542424299E-6</v>
      </c>
      <c r="O6" s="2">
        <v>46090.424829224539</v>
      </c>
      <c r="P6" s="2">
        <v>46090.425461666666</v>
      </c>
      <c r="Q6" s="3" t="s">
        <v>20</v>
      </c>
      <c r="R6" s="3" t="s">
        <v>23</v>
      </c>
      <c r="T6">
        <f t="shared" si="0"/>
        <v>-1.6684556773164019</v>
      </c>
    </row>
    <row r="7" spans="1:24" x14ac:dyDescent="0.3">
      <c r="A7">
        <v>6</v>
      </c>
      <c r="B7">
        <v>1</v>
      </c>
      <c r="C7">
        <v>1773051110.57037</v>
      </c>
      <c r="D7">
        <v>1773051152.8160999</v>
      </c>
      <c r="E7">
        <v>42.2457347814819</v>
      </c>
      <c r="F7">
        <v>1773051086</v>
      </c>
      <c r="G7">
        <v>1773051127</v>
      </c>
      <c r="H7">
        <v>40.587000000000003</v>
      </c>
      <c r="I7">
        <v>1.65873478148191</v>
      </c>
      <c r="J7">
        <v>1.65873478148191</v>
      </c>
      <c r="K7">
        <v>4.0050223763775499</v>
      </c>
      <c r="L7">
        <v>25.8161075115203</v>
      </c>
      <c r="M7">
        <v>25.8161075115203</v>
      </c>
      <c r="N7" s="1">
        <v>1.4560272363525301E-6</v>
      </c>
      <c r="O7" s="2">
        <v>46090.424890856484</v>
      </c>
      <c r="P7" s="2">
        <v>46090.425379814813</v>
      </c>
      <c r="Q7" s="3" t="s">
        <v>24</v>
      </c>
      <c r="R7" s="3" t="s">
        <v>25</v>
      </c>
      <c r="T7">
        <f t="shared" si="0"/>
        <v>-1.6587347814818969</v>
      </c>
    </row>
    <row r="8" spans="1:24" x14ac:dyDescent="0.3">
      <c r="A8">
        <v>7</v>
      </c>
      <c r="B8">
        <v>4</v>
      </c>
      <c r="C8">
        <v>1773051115.7323201</v>
      </c>
      <c r="D8">
        <v>1773051166.3650701</v>
      </c>
      <c r="E8">
        <v>50.632753677550099</v>
      </c>
      <c r="F8">
        <v>1773051112</v>
      </c>
      <c r="G8">
        <v>1773051139</v>
      </c>
      <c r="H8">
        <v>27.202999999999999</v>
      </c>
      <c r="I8">
        <v>23.429753677550099</v>
      </c>
      <c r="J8">
        <v>23.429753677550099</v>
      </c>
      <c r="K8">
        <v>60.2030623988366</v>
      </c>
      <c r="L8">
        <v>27.365076541900599</v>
      </c>
      <c r="M8">
        <v>27.365076541900599</v>
      </c>
      <c r="N8" s="1">
        <v>1.5433890049082099E-6</v>
      </c>
      <c r="O8" s="2">
        <v>46090.424950601853</v>
      </c>
      <c r="P8" s="2">
        <v>46090.425536631941</v>
      </c>
      <c r="Q8" s="3" t="s">
        <v>22</v>
      </c>
      <c r="R8" s="3" t="s">
        <v>26</v>
      </c>
      <c r="T8">
        <f t="shared" si="0"/>
        <v>-23.429753677550099</v>
      </c>
    </row>
    <row r="9" spans="1:24" x14ac:dyDescent="0.3">
      <c r="A9">
        <v>8</v>
      </c>
      <c r="B9">
        <v>3</v>
      </c>
      <c r="C9">
        <v>1773051132.6001</v>
      </c>
      <c r="D9">
        <v>1773051194.9259901</v>
      </c>
      <c r="E9">
        <v>62.325883479717902</v>
      </c>
      <c r="F9">
        <v>1773051122</v>
      </c>
      <c r="G9">
        <v>1773051157</v>
      </c>
      <c r="H9">
        <v>34.738999999999997</v>
      </c>
      <c r="I9">
        <v>27.586883479717901</v>
      </c>
      <c r="J9">
        <v>27.586883479717901</v>
      </c>
      <c r="K9">
        <v>56.842150303476799</v>
      </c>
      <c r="L9">
        <v>37.9259932041168</v>
      </c>
      <c r="M9">
        <v>37.9259932041168</v>
      </c>
      <c r="N9" s="1">
        <v>2.1390241702142599E-6</v>
      </c>
      <c r="O9" s="2">
        <v>46090.425145833331</v>
      </c>
      <c r="P9" s="2">
        <v>46090.425867199076</v>
      </c>
      <c r="Q9" s="3" t="s">
        <v>21</v>
      </c>
      <c r="R9" s="3" t="s">
        <v>27</v>
      </c>
      <c r="T9">
        <f t="shared" si="0"/>
        <v>-27.586883479717905</v>
      </c>
    </row>
    <row r="10" spans="1:24" x14ac:dyDescent="0.3">
      <c r="A10">
        <v>9</v>
      </c>
      <c r="B10">
        <v>1</v>
      </c>
      <c r="C10">
        <v>1773051152.8160999</v>
      </c>
      <c r="D10">
        <v>1773051217.0959499</v>
      </c>
      <c r="E10">
        <v>64.279844480697093</v>
      </c>
      <c r="F10">
        <v>1773051127</v>
      </c>
      <c r="G10">
        <v>1773051158</v>
      </c>
      <c r="H10">
        <v>30.835000000000001</v>
      </c>
      <c r="I10">
        <v>33.4448444806971</v>
      </c>
      <c r="J10">
        <v>33.4448444806971</v>
      </c>
      <c r="K10">
        <v>70.325183546895204</v>
      </c>
      <c r="L10">
        <v>59.095952033996497</v>
      </c>
      <c r="M10">
        <v>59.095952033996497</v>
      </c>
      <c r="N10" s="1">
        <v>3.3330087957428199E-6</v>
      </c>
      <c r="O10" s="2">
        <v>46090.425379814813</v>
      </c>
      <c r="P10" s="2">
        <v>46090.426123796293</v>
      </c>
      <c r="Q10" s="3" t="s">
        <v>25</v>
      </c>
      <c r="R10" s="3" t="s">
        <v>28</v>
      </c>
      <c r="T10">
        <f t="shared" si="0"/>
        <v>-33.444844480697093</v>
      </c>
    </row>
    <row r="11" spans="1:24" x14ac:dyDescent="0.3">
      <c r="A11">
        <v>10</v>
      </c>
      <c r="B11">
        <v>2</v>
      </c>
      <c r="C11">
        <v>1773051159.88765</v>
      </c>
      <c r="D11">
        <v>1773051195.6657701</v>
      </c>
      <c r="E11">
        <v>35.778127452427498</v>
      </c>
      <c r="F11">
        <v>1773051138</v>
      </c>
      <c r="G11">
        <v>1773051177</v>
      </c>
      <c r="H11">
        <v>39.046999999999997</v>
      </c>
      <c r="I11">
        <v>-3.2688725475724101</v>
      </c>
      <c r="J11">
        <v>3.2688725475724101</v>
      </c>
      <c r="K11">
        <v>8.7373657990778604</v>
      </c>
      <c r="L11">
        <v>18.665778160095201</v>
      </c>
      <c r="M11">
        <v>18.665778160095201</v>
      </c>
      <c r="N11" s="1">
        <v>1.05274897329392E-6</v>
      </c>
      <c r="O11" s="2">
        <v>46090.425461666666</v>
      </c>
      <c r="P11" s="2">
        <v>46090.425875763889</v>
      </c>
      <c r="Q11" s="3" t="s">
        <v>23</v>
      </c>
      <c r="R11" s="3" t="s">
        <v>29</v>
      </c>
      <c r="T11">
        <f t="shared" si="0"/>
        <v>3.2688725475724993</v>
      </c>
    </row>
    <row r="12" spans="1:24" x14ac:dyDescent="0.3">
      <c r="A12">
        <v>11</v>
      </c>
      <c r="B12">
        <v>4</v>
      </c>
      <c r="C12">
        <v>1773051166.3650701</v>
      </c>
      <c r="D12">
        <v>1773051217.45204</v>
      </c>
      <c r="E12">
        <v>51.086970772646303</v>
      </c>
      <c r="F12">
        <v>1773051138</v>
      </c>
      <c r="G12">
        <v>1773051183</v>
      </c>
      <c r="H12">
        <v>44.473999999999997</v>
      </c>
      <c r="I12">
        <v>6.6129707726463502</v>
      </c>
      <c r="J12">
        <v>6.6129707726463502</v>
      </c>
      <c r="K12">
        <v>13.8403172742553</v>
      </c>
      <c r="L12">
        <v>34.452047348022397</v>
      </c>
      <c r="M12">
        <v>34.452047348022397</v>
      </c>
      <c r="N12" s="1">
        <v>1.94309376647615E-6</v>
      </c>
      <c r="O12" s="2">
        <v>46090.425536631941</v>
      </c>
      <c r="P12" s="2">
        <v>46090.426127916668</v>
      </c>
      <c r="Q12" s="3" t="s">
        <v>23</v>
      </c>
      <c r="R12" s="3" t="s">
        <v>30</v>
      </c>
      <c r="T12">
        <f t="shared" si="0"/>
        <v>-6.6129707726463067</v>
      </c>
    </row>
    <row r="13" spans="1:24" x14ac:dyDescent="0.3">
      <c r="A13">
        <v>12</v>
      </c>
      <c r="B13">
        <v>3</v>
      </c>
      <c r="C13">
        <v>1773051194.9259901</v>
      </c>
      <c r="D13">
        <v>1773051266.4727499</v>
      </c>
      <c r="E13">
        <v>71.546763619725894</v>
      </c>
      <c r="F13">
        <v>1773051157</v>
      </c>
      <c r="G13">
        <v>1773051185</v>
      </c>
      <c r="H13">
        <v>28.206</v>
      </c>
      <c r="I13">
        <v>43.340763619725898</v>
      </c>
      <c r="J13">
        <v>43.340763619725898</v>
      </c>
      <c r="K13">
        <v>86.896366670998901</v>
      </c>
      <c r="L13">
        <v>81.472756862640296</v>
      </c>
      <c r="M13">
        <v>81.472756862640296</v>
      </c>
      <c r="N13" s="1">
        <v>4.5950593914060896E-6</v>
      </c>
      <c r="O13" s="2">
        <v>46090.425867199076</v>
      </c>
      <c r="P13" s="2">
        <v>46090.426695289352</v>
      </c>
      <c r="Q13" s="3" t="s">
        <v>27</v>
      </c>
      <c r="R13" s="3" t="s">
        <v>31</v>
      </c>
      <c r="T13">
        <f t="shared" si="0"/>
        <v>-43.340763619725891</v>
      </c>
    </row>
    <row r="14" spans="1:24" x14ac:dyDescent="0.3">
      <c r="A14">
        <v>13</v>
      </c>
      <c r="B14">
        <v>2</v>
      </c>
      <c r="C14">
        <v>1773051195.6657701</v>
      </c>
      <c r="D14">
        <v>1773051234.4326701</v>
      </c>
      <c r="E14">
        <v>38.766893671366503</v>
      </c>
      <c r="F14">
        <v>1773051158</v>
      </c>
      <c r="G14">
        <v>1773051160</v>
      </c>
      <c r="H14">
        <v>2.5779999999999998</v>
      </c>
      <c r="I14">
        <v>36.1888936713665</v>
      </c>
      <c r="J14">
        <v>36.1888936713665</v>
      </c>
      <c r="K14">
        <v>175.058588656761</v>
      </c>
      <c r="L14">
        <v>74.4326717853546</v>
      </c>
      <c r="M14">
        <v>74.4326717853546</v>
      </c>
      <c r="N14" s="1">
        <v>4.19799901447926E-6</v>
      </c>
      <c r="O14" s="2">
        <v>46090.425875763889</v>
      </c>
      <c r="P14" s="2">
        <v>46090.426324456021</v>
      </c>
      <c r="Q14" s="3" t="s">
        <v>28</v>
      </c>
      <c r="R14" s="3" t="s">
        <v>32</v>
      </c>
      <c r="T14">
        <f t="shared" si="0"/>
        <v>-36.1888936713665</v>
      </c>
    </row>
    <row r="15" spans="1:24" x14ac:dyDescent="0.3">
      <c r="A15">
        <v>14</v>
      </c>
      <c r="B15">
        <v>1</v>
      </c>
      <c r="C15">
        <v>1773051217.0959499</v>
      </c>
      <c r="D15">
        <v>1773051269.61185</v>
      </c>
      <c r="E15">
        <v>52.515898177418002</v>
      </c>
      <c r="F15">
        <v>1773051160</v>
      </c>
      <c r="G15">
        <v>1773051198</v>
      </c>
      <c r="H15">
        <v>38.183</v>
      </c>
      <c r="I15">
        <v>14.332898177418</v>
      </c>
      <c r="J15">
        <v>14.332898177418</v>
      </c>
      <c r="K15">
        <v>31.6054515885764</v>
      </c>
      <c r="L15">
        <v>71.611850261688204</v>
      </c>
      <c r="M15">
        <v>71.611850261688204</v>
      </c>
      <c r="N15" s="1">
        <v>4.0389047364395904E-6</v>
      </c>
      <c r="O15" s="2">
        <v>46090.426123796293</v>
      </c>
      <c r="P15" s="2">
        <v>46090.42673162037</v>
      </c>
      <c r="Q15" s="3" t="s">
        <v>32</v>
      </c>
      <c r="R15" s="3" t="s">
        <v>33</v>
      </c>
      <c r="T15">
        <f t="shared" si="0"/>
        <v>-14.332898177418002</v>
      </c>
    </row>
    <row r="16" spans="1:24" x14ac:dyDescent="0.3">
      <c r="A16">
        <v>15</v>
      </c>
      <c r="B16">
        <v>4</v>
      </c>
      <c r="C16">
        <v>1773051217.45204</v>
      </c>
      <c r="D16">
        <v>1773051283.6716299</v>
      </c>
      <c r="E16">
        <v>66.219588391560393</v>
      </c>
      <c r="F16">
        <v>1773051176</v>
      </c>
      <c r="G16">
        <v>1773051206</v>
      </c>
      <c r="H16">
        <v>29.25</v>
      </c>
      <c r="I16">
        <v>36.9695883915604</v>
      </c>
      <c r="J16">
        <v>36.9695883915604</v>
      </c>
      <c r="K16">
        <v>77.447884744056495</v>
      </c>
      <c r="L16">
        <v>77.671635627746497</v>
      </c>
      <c r="M16">
        <v>77.671635627746497</v>
      </c>
      <c r="N16" s="1">
        <v>4.3806762976520097E-6</v>
      </c>
      <c r="O16" s="2">
        <v>46090.426127916668</v>
      </c>
      <c r="P16" s="2">
        <v>46090.426894351855</v>
      </c>
      <c r="Q16" s="3" t="s">
        <v>34</v>
      </c>
      <c r="R16" s="3" t="s">
        <v>35</v>
      </c>
      <c r="T16">
        <f t="shared" si="0"/>
        <v>-36.969588391560393</v>
      </c>
    </row>
    <row r="17" spans="1:20" x14ac:dyDescent="0.3">
      <c r="A17">
        <v>16</v>
      </c>
      <c r="B17">
        <v>2</v>
      </c>
      <c r="C17">
        <v>1773051234.4326701</v>
      </c>
      <c r="D17">
        <v>1773051307.4696901</v>
      </c>
      <c r="E17">
        <v>73.037022551740904</v>
      </c>
      <c r="F17">
        <v>1773051183</v>
      </c>
      <c r="G17">
        <v>1773051218</v>
      </c>
      <c r="H17">
        <v>34.893000000000001</v>
      </c>
      <c r="I17">
        <v>38.144022551740903</v>
      </c>
      <c r="J17">
        <v>38.144022551740903</v>
      </c>
      <c r="K17">
        <v>70.682877015901497</v>
      </c>
      <c r="L17">
        <v>89.469694375991807</v>
      </c>
      <c r="M17">
        <v>89.469694375991807</v>
      </c>
      <c r="N17" s="1">
        <v>5.0460861598546801E-6</v>
      </c>
      <c r="O17" s="2">
        <v>46090.426324456021</v>
      </c>
      <c r="P17" s="2">
        <v>46090.42716979167</v>
      </c>
      <c r="Q17" s="3" t="s">
        <v>30</v>
      </c>
      <c r="R17" s="3" t="s">
        <v>36</v>
      </c>
      <c r="T17">
        <f t="shared" si="0"/>
        <v>-38.144022551740903</v>
      </c>
    </row>
    <row r="18" spans="1:20" x14ac:dyDescent="0.3">
      <c r="A18">
        <v>17</v>
      </c>
      <c r="B18">
        <v>3</v>
      </c>
      <c r="C18">
        <v>1773051266.4727499</v>
      </c>
      <c r="D18">
        <v>1773051312.80882</v>
      </c>
      <c r="E18">
        <v>46.336064590258601</v>
      </c>
      <c r="F18">
        <v>1773051185</v>
      </c>
      <c r="G18">
        <v>1773051219</v>
      </c>
      <c r="H18">
        <v>33.551000000000002</v>
      </c>
      <c r="I18">
        <v>12.7850645902586</v>
      </c>
      <c r="J18">
        <v>12.7850645902586</v>
      </c>
      <c r="K18">
        <v>32.007846716695198</v>
      </c>
      <c r="L18">
        <v>93.808821439742999</v>
      </c>
      <c r="M18">
        <v>93.808821439742999</v>
      </c>
      <c r="N18" s="1">
        <v>5.2908126935569602E-6</v>
      </c>
      <c r="O18" s="2">
        <v>46090.426695289352</v>
      </c>
      <c r="P18" s="2">
        <v>46090.427231585651</v>
      </c>
      <c r="Q18" s="3" t="s">
        <v>31</v>
      </c>
      <c r="R18" s="3" t="s">
        <v>37</v>
      </c>
      <c r="T18">
        <f t="shared" si="0"/>
        <v>-12.7850645902586</v>
      </c>
    </row>
    <row r="19" spans="1:20" x14ac:dyDescent="0.3">
      <c r="A19">
        <v>18</v>
      </c>
      <c r="B19">
        <v>1</v>
      </c>
      <c r="C19">
        <v>1773051269.61185</v>
      </c>
      <c r="D19">
        <v>1773051308.2653</v>
      </c>
      <c r="E19">
        <v>38.6534523625891</v>
      </c>
      <c r="F19">
        <v>1773051198</v>
      </c>
      <c r="G19">
        <v>1773051232</v>
      </c>
      <c r="H19">
        <v>33.956000000000003</v>
      </c>
      <c r="I19">
        <v>4.6974523625891802</v>
      </c>
      <c r="J19">
        <v>4.6974523625891802</v>
      </c>
      <c r="K19">
        <v>12.938955493374401</v>
      </c>
      <c r="L19">
        <v>76.265302658080998</v>
      </c>
      <c r="M19">
        <v>76.265302658080998</v>
      </c>
      <c r="N19" s="1">
        <v>4.3013591283446204E-6</v>
      </c>
      <c r="O19" s="2">
        <v>46090.42673162037</v>
      </c>
      <c r="P19" s="2">
        <v>46090.427178993057</v>
      </c>
      <c r="Q19" s="3" t="s">
        <v>33</v>
      </c>
      <c r="R19" s="3" t="s">
        <v>38</v>
      </c>
      <c r="T19">
        <f t="shared" si="0"/>
        <v>-4.6974523625890967</v>
      </c>
    </row>
    <row r="20" spans="1:20" x14ac:dyDescent="0.3">
      <c r="A20">
        <v>19</v>
      </c>
      <c r="B20">
        <v>4</v>
      </c>
      <c r="C20">
        <v>1773051283.6716299</v>
      </c>
      <c r="D20">
        <v>1773051392.15644</v>
      </c>
      <c r="E20">
        <v>108.484812182402</v>
      </c>
      <c r="F20">
        <v>1773051206</v>
      </c>
      <c r="G20">
        <v>1773051326</v>
      </c>
      <c r="H20">
        <v>120.52</v>
      </c>
      <c r="I20">
        <v>-12.0351878175977</v>
      </c>
      <c r="J20">
        <v>12.0351878175977</v>
      </c>
      <c r="K20">
        <v>10.510860189271201</v>
      </c>
      <c r="L20">
        <v>66.156447887420597</v>
      </c>
      <c r="M20">
        <v>66.156447887420597</v>
      </c>
      <c r="N20" s="1">
        <v>3.7312200545512699E-6</v>
      </c>
      <c r="O20" s="2">
        <v>46090.426894351855</v>
      </c>
      <c r="P20" s="2">
        <v>46090.428149953703</v>
      </c>
      <c r="Q20" s="3" t="s">
        <v>35</v>
      </c>
      <c r="R20" s="3" t="s">
        <v>39</v>
      </c>
      <c r="T20">
        <f t="shared" si="0"/>
        <v>12.035187817598</v>
      </c>
    </row>
    <row r="21" spans="1:20" x14ac:dyDescent="0.3">
      <c r="A21">
        <v>20</v>
      </c>
      <c r="B21">
        <v>2</v>
      </c>
      <c r="C21">
        <v>1773051307.4696901</v>
      </c>
      <c r="D21">
        <v>1773051371.7952199</v>
      </c>
      <c r="E21">
        <v>64.325527241840902</v>
      </c>
      <c r="F21">
        <v>1773051218</v>
      </c>
      <c r="G21">
        <v>1773051248</v>
      </c>
      <c r="H21">
        <v>30.582999999999998</v>
      </c>
      <c r="I21">
        <v>33.742527241840897</v>
      </c>
      <c r="J21">
        <v>33.742527241840897</v>
      </c>
      <c r="K21">
        <v>71.105364760028394</v>
      </c>
      <c r="L21">
        <v>123.79522156715301</v>
      </c>
      <c r="M21">
        <v>123.79522156715301</v>
      </c>
      <c r="N21" s="1">
        <v>6.9820439417685404E-6</v>
      </c>
      <c r="O21" s="2">
        <v>46090.42716979167</v>
      </c>
      <c r="P21" s="2">
        <v>46090.427914293985</v>
      </c>
      <c r="Q21" s="3" t="s">
        <v>36</v>
      </c>
      <c r="R21" s="3" t="s">
        <v>40</v>
      </c>
      <c r="T21">
        <f t="shared" si="0"/>
        <v>-33.742527241840904</v>
      </c>
    </row>
    <row r="22" spans="1:20" x14ac:dyDescent="0.3">
      <c r="A22">
        <v>21</v>
      </c>
      <c r="B22">
        <v>1</v>
      </c>
      <c r="C22">
        <v>1773051308.2653</v>
      </c>
      <c r="D22">
        <v>1773051362.227</v>
      </c>
      <c r="E22">
        <v>53.961698901833302</v>
      </c>
      <c r="F22">
        <v>1773051219</v>
      </c>
      <c r="G22">
        <v>1773051255</v>
      </c>
      <c r="H22">
        <v>35.950000000000003</v>
      </c>
      <c r="I22">
        <v>18.011698901833299</v>
      </c>
      <c r="J22">
        <v>18.011698901833299</v>
      </c>
      <c r="K22">
        <v>40.0653065659425</v>
      </c>
      <c r="L22">
        <v>107.22700166702199</v>
      </c>
      <c r="M22">
        <v>107.22700166702199</v>
      </c>
      <c r="N22" s="1">
        <v>6.0475972210230396E-6</v>
      </c>
      <c r="O22" s="2">
        <v>46090.427178993057</v>
      </c>
      <c r="P22" s="2">
        <v>46090.427803553241</v>
      </c>
      <c r="Q22" s="3" t="s">
        <v>37</v>
      </c>
      <c r="R22" s="3" t="s">
        <v>41</v>
      </c>
      <c r="T22">
        <f t="shared" si="0"/>
        <v>-18.011698901833299</v>
      </c>
    </row>
    <row r="23" spans="1:20" x14ac:dyDescent="0.3">
      <c r="A23">
        <v>22</v>
      </c>
      <c r="B23">
        <v>3</v>
      </c>
      <c r="C23">
        <v>1773051312.80882</v>
      </c>
      <c r="D23">
        <v>1773051350.05021</v>
      </c>
      <c r="E23">
        <v>37.241389661255297</v>
      </c>
      <c r="F23">
        <v>1773051232</v>
      </c>
      <c r="G23">
        <v>1773051259</v>
      </c>
      <c r="H23">
        <v>26.917999999999999</v>
      </c>
      <c r="I23">
        <v>10.3233896612553</v>
      </c>
      <c r="J23">
        <v>10.3233896612553</v>
      </c>
      <c r="K23">
        <v>32.180448460498603</v>
      </c>
      <c r="L23">
        <v>91.050211191177297</v>
      </c>
      <c r="M23">
        <v>91.050211191177297</v>
      </c>
      <c r="N23" s="1">
        <v>5.1352271058825498E-6</v>
      </c>
      <c r="O23" s="2">
        <v>46090.427231585651</v>
      </c>
      <c r="P23" s="2">
        <v>46090.427662615744</v>
      </c>
      <c r="Q23" s="3" t="s">
        <v>38</v>
      </c>
      <c r="R23" s="3" t="s">
        <v>42</v>
      </c>
      <c r="T23">
        <f t="shared" si="0"/>
        <v>-10.323389661255298</v>
      </c>
    </row>
    <row r="24" spans="1:20" x14ac:dyDescent="0.3">
      <c r="A24">
        <v>23</v>
      </c>
      <c r="B24">
        <v>3</v>
      </c>
      <c r="C24">
        <v>1773051350.05021</v>
      </c>
      <c r="D24">
        <v>1773051432.70012</v>
      </c>
      <c r="E24">
        <v>82.649911858095393</v>
      </c>
      <c r="F24">
        <v>1773051248</v>
      </c>
      <c r="G24">
        <v>1773051329</v>
      </c>
      <c r="H24">
        <v>80.146000000000001</v>
      </c>
      <c r="I24">
        <v>2.50391185809544</v>
      </c>
      <c r="J24">
        <v>2.50391185809544</v>
      </c>
      <c r="K24">
        <v>3.07613603992468</v>
      </c>
      <c r="L24">
        <v>103.70012307167001</v>
      </c>
      <c r="M24">
        <v>103.70012307167001</v>
      </c>
      <c r="N24" s="1">
        <v>5.8486812165563499E-6</v>
      </c>
      <c r="O24" s="2">
        <v>46090.427662615744</v>
      </c>
      <c r="P24" s="2">
        <v>46090.428619212966</v>
      </c>
      <c r="Q24" s="3" t="s">
        <v>40</v>
      </c>
      <c r="R24" s="3" t="s">
        <v>43</v>
      </c>
      <c r="T24">
        <f t="shared" si="0"/>
        <v>-2.5039118580953925</v>
      </c>
    </row>
    <row r="25" spans="1:20" x14ac:dyDescent="0.3">
      <c r="A25">
        <v>24</v>
      </c>
      <c r="B25">
        <v>1</v>
      </c>
      <c r="C25">
        <v>1773051362.227</v>
      </c>
      <c r="D25">
        <v>1773051437.6187799</v>
      </c>
      <c r="E25">
        <v>75.391786021485203</v>
      </c>
      <c r="F25">
        <v>1773051255</v>
      </c>
      <c r="G25">
        <v>1773051348</v>
      </c>
      <c r="H25">
        <v>92.787999999999997</v>
      </c>
      <c r="I25">
        <v>-17.396213978514702</v>
      </c>
      <c r="J25">
        <v>17.396213978514702</v>
      </c>
      <c r="K25">
        <v>20.6876395672097</v>
      </c>
      <c r="L25">
        <v>89.618787765502901</v>
      </c>
      <c r="M25">
        <v>89.618787765502901</v>
      </c>
      <c r="N25" s="1">
        <v>5.0544946485449697E-6</v>
      </c>
      <c r="O25" s="2">
        <v>46090.427803553241</v>
      </c>
      <c r="P25" s="2">
        <v>46090.428676145835</v>
      </c>
      <c r="Q25" s="3" t="s">
        <v>41</v>
      </c>
      <c r="R25" s="3" t="s">
        <v>44</v>
      </c>
      <c r="T25">
        <f t="shared" si="0"/>
        <v>17.396213978514794</v>
      </c>
    </row>
    <row r="26" spans="1:20" x14ac:dyDescent="0.3">
      <c r="A26">
        <v>25</v>
      </c>
      <c r="B26">
        <v>2</v>
      </c>
      <c r="C26">
        <v>1773051371.7952199</v>
      </c>
      <c r="D26">
        <v>1773051450.6647</v>
      </c>
      <c r="E26">
        <v>78.869486143557907</v>
      </c>
      <c r="F26">
        <v>1773051259</v>
      </c>
      <c r="G26">
        <v>1773051389</v>
      </c>
      <c r="H26">
        <v>130.32300000000001</v>
      </c>
      <c r="I26">
        <v>-51.453513856442001</v>
      </c>
      <c r="J26">
        <v>51.453513856442001</v>
      </c>
      <c r="K26">
        <v>49.192506676489501</v>
      </c>
      <c r="L26">
        <v>61.664707660674999</v>
      </c>
      <c r="M26">
        <v>61.664707660674999</v>
      </c>
      <c r="N26" s="1">
        <v>3.47788603144434E-6</v>
      </c>
      <c r="O26" s="2">
        <v>46090.427914293985</v>
      </c>
      <c r="P26" s="2">
        <v>46090.428827141201</v>
      </c>
      <c r="Q26" s="3" t="s">
        <v>42</v>
      </c>
      <c r="R26" s="3" t="s">
        <v>45</v>
      </c>
      <c r="T26">
        <f t="shared" si="0"/>
        <v>51.4535138564421</v>
      </c>
    </row>
    <row r="27" spans="1:20" x14ac:dyDescent="0.3">
      <c r="A27">
        <v>26</v>
      </c>
      <c r="B27">
        <v>4</v>
      </c>
      <c r="C27">
        <v>1773051392.15644</v>
      </c>
      <c r="D27">
        <v>1773051435.5285699</v>
      </c>
      <c r="E27">
        <v>43.372124505922699</v>
      </c>
      <c r="F27">
        <v>1773051326</v>
      </c>
      <c r="G27">
        <v>1773051358</v>
      </c>
      <c r="H27">
        <v>32.110999999999997</v>
      </c>
      <c r="I27">
        <v>11.2611245059227</v>
      </c>
      <c r="J27">
        <v>11.2611245059227</v>
      </c>
      <c r="K27">
        <v>29.8374625577116</v>
      </c>
      <c r="L27">
        <v>77.528572320938096</v>
      </c>
      <c r="M27">
        <v>77.528572320938096</v>
      </c>
      <c r="N27" s="1">
        <v>4.3726071597486201E-6</v>
      </c>
      <c r="O27" s="2">
        <v>46090.428149953703</v>
      </c>
      <c r="P27" s="2">
        <v>46090.428651956019</v>
      </c>
      <c r="Q27" s="3" t="s">
        <v>39</v>
      </c>
      <c r="R27" s="3" t="s">
        <v>46</v>
      </c>
      <c r="T27">
        <f t="shared" si="0"/>
        <v>-11.261124505922702</v>
      </c>
    </row>
    <row r="28" spans="1:20" x14ac:dyDescent="0.3">
      <c r="A28">
        <v>27</v>
      </c>
      <c r="B28">
        <v>3</v>
      </c>
      <c r="C28">
        <v>1773051432.70012</v>
      </c>
      <c r="D28">
        <v>1773051469.7025599</v>
      </c>
      <c r="E28">
        <v>37.002441602496802</v>
      </c>
      <c r="F28">
        <v>1773051328</v>
      </c>
      <c r="G28">
        <v>1773051359</v>
      </c>
      <c r="H28">
        <v>31.187999999999999</v>
      </c>
      <c r="I28">
        <v>5.81444160249682</v>
      </c>
      <c r="J28">
        <v>5.81444160249682</v>
      </c>
      <c r="K28">
        <v>17.053538489722602</v>
      </c>
      <c r="L28">
        <v>110.702564716339</v>
      </c>
      <c r="M28">
        <v>110.702564716339</v>
      </c>
      <c r="N28" s="1">
        <v>6.24361842078012E-6</v>
      </c>
      <c r="O28" s="2">
        <v>46090.428619212966</v>
      </c>
      <c r="P28" s="2">
        <v>46090.429047488426</v>
      </c>
      <c r="Q28" s="3" t="s">
        <v>47</v>
      </c>
      <c r="R28" s="3" t="s">
        <v>48</v>
      </c>
      <c r="T28">
        <f t="shared" si="0"/>
        <v>-5.8144416024968031</v>
      </c>
    </row>
    <row r="29" spans="1:20" x14ac:dyDescent="0.3">
      <c r="A29">
        <v>28</v>
      </c>
      <c r="B29">
        <v>4</v>
      </c>
      <c r="C29">
        <v>1773051435.5285699</v>
      </c>
      <c r="D29">
        <v>1773051478.1457701</v>
      </c>
      <c r="E29">
        <v>42.617203113751799</v>
      </c>
      <c r="F29">
        <v>1773051347</v>
      </c>
      <c r="G29">
        <v>1773051418</v>
      </c>
      <c r="H29">
        <v>70.463999999999999</v>
      </c>
      <c r="I29">
        <v>-27.8467968862481</v>
      </c>
      <c r="J29">
        <v>27.8467968862481</v>
      </c>
      <c r="K29">
        <v>49.250973847945602</v>
      </c>
      <c r="L29">
        <v>60.145775318145702</v>
      </c>
      <c r="M29">
        <v>60.145775318145702</v>
      </c>
      <c r="N29" s="1">
        <v>3.3922182790306201E-6</v>
      </c>
      <c r="O29" s="2">
        <v>46090.428651956019</v>
      </c>
      <c r="P29" s="2">
        <v>46090.429145208334</v>
      </c>
      <c r="Q29" s="3" t="s">
        <v>49</v>
      </c>
      <c r="R29" s="3" t="s">
        <v>50</v>
      </c>
      <c r="T29">
        <f t="shared" si="0"/>
        <v>27.8467968862482</v>
      </c>
    </row>
    <row r="30" spans="1:20" x14ac:dyDescent="0.3">
      <c r="A30">
        <v>29</v>
      </c>
      <c r="B30">
        <v>1</v>
      </c>
      <c r="C30">
        <v>1773051437.6187799</v>
      </c>
      <c r="D30">
        <v>1773051556.4498</v>
      </c>
      <c r="E30">
        <v>118.831020500063</v>
      </c>
      <c r="F30">
        <v>1773051358</v>
      </c>
      <c r="G30">
        <v>1773051563</v>
      </c>
      <c r="H30">
        <v>204.852</v>
      </c>
      <c r="I30">
        <v>-86.020979499936701</v>
      </c>
      <c r="J30">
        <v>86.020979499936701</v>
      </c>
      <c r="K30">
        <v>53.151369736380602</v>
      </c>
      <c r="L30">
        <v>-6.5501916408538801</v>
      </c>
      <c r="M30">
        <v>6.5501916408538801</v>
      </c>
      <c r="N30" s="1">
        <v>3.6943040967574398E-7</v>
      </c>
      <c r="O30" s="2">
        <v>46090.428676145835</v>
      </c>
      <c r="P30" s="2">
        <v>46090.430051504627</v>
      </c>
      <c r="Q30" s="3" t="s">
        <v>46</v>
      </c>
      <c r="R30" s="3" t="s">
        <v>51</v>
      </c>
      <c r="T30">
        <f t="shared" si="0"/>
        <v>86.020979499936999</v>
      </c>
    </row>
    <row r="31" spans="1:20" x14ac:dyDescent="0.3">
      <c r="A31">
        <v>30</v>
      </c>
      <c r="B31">
        <v>2</v>
      </c>
      <c r="C31">
        <v>1773051450.6647</v>
      </c>
      <c r="D31">
        <v>1773051488.2304499</v>
      </c>
      <c r="E31">
        <v>37.5657501127572</v>
      </c>
      <c r="F31">
        <v>1773051359</v>
      </c>
      <c r="G31">
        <v>1773051392</v>
      </c>
      <c r="H31">
        <v>32.878</v>
      </c>
      <c r="I31">
        <v>4.6877501127572803</v>
      </c>
      <c r="J31">
        <v>4.6877501127572803</v>
      </c>
      <c r="K31">
        <v>13.309200902148801</v>
      </c>
      <c r="L31">
        <v>96.230457782745304</v>
      </c>
      <c r="M31">
        <v>96.230457782745304</v>
      </c>
      <c r="N31" s="1">
        <v>5.4273923252046998E-6</v>
      </c>
      <c r="O31" s="2">
        <v>46090.428827141201</v>
      </c>
      <c r="P31" s="2">
        <v>46090.429261921294</v>
      </c>
      <c r="Q31" s="3" t="s">
        <v>48</v>
      </c>
      <c r="R31" s="3" t="s">
        <v>52</v>
      </c>
      <c r="T31">
        <f t="shared" si="0"/>
        <v>-4.6877501127572003</v>
      </c>
    </row>
    <row r="32" spans="1:20" x14ac:dyDescent="0.3">
      <c r="A32">
        <v>31</v>
      </c>
      <c r="B32">
        <v>3</v>
      </c>
      <c r="C32">
        <v>1773051469.7025599</v>
      </c>
      <c r="D32">
        <v>1773051565.8529601</v>
      </c>
      <c r="E32">
        <v>96.150396853237893</v>
      </c>
      <c r="F32">
        <v>1773051389</v>
      </c>
      <c r="G32">
        <v>1773051482</v>
      </c>
      <c r="H32">
        <v>92.933000000000007</v>
      </c>
      <c r="I32">
        <v>3.21739685323795</v>
      </c>
      <c r="J32">
        <v>3.21739685323795</v>
      </c>
      <c r="K32">
        <v>3.4031511034627999</v>
      </c>
      <c r="L32">
        <v>83.852961540222097</v>
      </c>
      <c r="M32">
        <v>83.852961540222097</v>
      </c>
      <c r="N32" s="1">
        <v>4.7293020201988798E-6</v>
      </c>
      <c r="O32" s="2">
        <v>46090.429047488426</v>
      </c>
      <c r="P32" s="2">
        <v>46090.430160335651</v>
      </c>
      <c r="Q32" s="3" t="s">
        <v>45</v>
      </c>
      <c r="R32" s="3" t="s">
        <v>53</v>
      </c>
      <c r="T32">
        <f t="shared" si="0"/>
        <v>-3.2173968532378865</v>
      </c>
    </row>
    <row r="33" spans="1:20" x14ac:dyDescent="0.3">
      <c r="A33">
        <v>32</v>
      </c>
      <c r="B33">
        <v>4</v>
      </c>
      <c r="C33">
        <v>1773051478.1457701</v>
      </c>
      <c r="D33">
        <v>1773051553.1131401</v>
      </c>
      <c r="E33">
        <v>74.967367392614904</v>
      </c>
      <c r="F33">
        <v>1773051392</v>
      </c>
      <c r="G33">
        <v>1773051473</v>
      </c>
      <c r="H33">
        <v>80.352999999999994</v>
      </c>
      <c r="I33">
        <v>-5.3856326073850003</v>
      </c>
      <c r="J33">
        <v>5.3856326073850003</v>
      </c>
      <c r="K33">
        <v>6.9348697763137999</v>
      </c>
      <c r="L33">
        <v>80.113142728805499</v>
      </c>
      <c r="M33">
        <v>80.113142728805499</v>
      </c>
      <c r="N33" s="1">
        <v>4.5183764904099198E-6</v>
      </c>
      <c r="O33" s="2">
        <v>46090.429145208334</v>
      </c>
      <c r="P33" s="2">
        <v>46090.430012881945</v>
      </c>
      <c r="Q33" s="3" t="s">
        <v>52</v>
      </c>
      <c r="R33" s="3" t="s">
        <v>54</v>
      </c>
      <c r="T33">
        <f t="shared" si="0"/>
        <v>5.3856326073850909</v>
      </c>
    </row>
    <row r="34" spans="1:20" x14ac:dyDescent="0.3">
      <c r="A34">
        <v>33</v>
      </c>
      <c r="B34">
        <v>2</v>
      </c>
      <c r="C34">
        <v>1773051488.2304499</v>
      </c>
      <c r="D34">
        <v>1773051529.3994999</v>
      </c>
      <c r="E34">
        <v>41.169043566625803</v>
      </c>
      <c r="F34">
        <v>1773051418</v>
      </c>
      <c r="G34">
        <v>1773051449</v>
      </c>
      <c r="H34">
        <v>30.995999999999999</v>
      </c>
      <c r="I34">
        <v>10.1730435666258</v>
      </c>
      <c r="J34">
        <v>10.1730435666258</v>
      </c>
      <c r="K34">
        <v>28.1938264396215</v>
      </c>
      <c r="L34">
        <v>80.399501323699894</v>
      </c>
      <c r="M34">
        <v>80.399501323699894</v>
      </c>
      <c r="N34" s="1">
        <v>4.5345271591626103E-6</v>
      </c>
      <c r="O34" s="2">
        <v>46090.429261921294</v>
      </c>
      <c r="P34" s="2">
        <v>46090.429738425926</v>
      </c>
      <c r="Q34" s="3" t="s">
        <v>50</v>
      </c>
      <c r="R34" s="3" t="s">
        <v>55</v>
      </c>
      <c r="T34">
        <f t="shared" si="0"/>
        <v>-10.173043566625804</v>
      </c>
    </row>
    <row r="35" spans="1:20" x14ac:dyDescent="0.3">
      <c r="A35">
        <v>34</v>
      </c>
      <c r="B35">
        <v>2</v>
      </c>
      <c r="C35">
        <v>1773051529.3994999</v>
      </c>
      <c r="D35">
        <v>1773051563.01687</v>
      </c>
      <c r="E35">
        <v>33.617374566803797</v>
      </c>
      <c r="F35">
        <v>1773051449</v>
      </c>
      <c r="G35">
        <v>1773051483</v>
      </c>
      <c r="H35">
        <v>34.664000000000001</v>
      </c>
      <c r="I35">
        <v>-1.04662543319615</v>
      </c>
      <c r="J35">
        <v>1.04662543319615</v>
      </c>
      <c r="K35">
        <v>3.0656249667972801</v>
      </c>
      <c r="L35">
        <v>80.016875982284503</v>
      </c>
      <c r="M35">
        <v>80.016875982284503</v>
      </c>
      <c r="N35" s="1">
        <v>4.5129470262948299E-6</v>
      </c>
      <c r="O35" s="2">
        <v>46090.429738425926</v>
      </c>
      <c r="P35" s="2">
        <v>46090.430127511572</v>
      </c>
      <c r="Q35" s="3" t="s">
        <v>55</v>
      </c>
      <c r="R35" s="3" t="s">
        <v>56</v>
      </c>
      <c r="T35">
        <f t="shared" si="0"/>
        <v>1.0466254331962048</v>
      </c>
    </row>
    <row r="36" spans="1:20" x14ac:dyDescent="0.3">
      <c r="A36">
        <v>35</v>
      </c>
      <c r="B36">
        <v>4</v>
      </c>
      <c r="C36">
        <v>1773051553.1131401</v>
      </c>
      <c r="D36">
        <v>1773051586.09496</v>
      </c>
      <c r="E36">
        <v>32.981817337792897</v>
      </c>
      <c r="F36">
        <v>1773051472</v>
      </c>
      <c r="G36">
        <v>1773051501</v>
      </c>
      <c r="H36">
        <v>28.068000000000001</v>
      </c>
      <c r="I36">
        <v>4.9138173377929304</v>
      </c>
      <c r="J36">
        <v>4.9138173377929304</v>
      </c>
      <c r="K36">
        <v>16.097729860859101</v>
      </c>
      <c r="L36">
        <v>85.094959974288898</v>
      </c>
      <c r="M36">
        <v>85.094959974288898</v>
      </c>
      <c r="N36" s="1">
        <v>4.7993506045533701E-6</v>
      </c>
      <c r="O36" s="2">
        <v>46090.430012881945</v>
      </c>
      <c r="P36" s="2">
        <v>46090.430394618059</v>
      </c>
      <c r="Q36" s="3" t="s">
        <v>57</v>
      </c>
      <c r="R36" s="3" t="s">
        <v>58</v>
      </c>
      <c r="T36">
        <f t="shared" si="0"/>
        <v>-4.9138173377928958</v>
      </c>
    </row>
    <row r="37" spans="1:20" x14ac:dyDescent="0.3">
      <c r="A37">
        <v>36</v>
      </c>
      <c r="B37">
        <v>1</v>
      </c>
      <c r="C37">
        <v>1773051556.4498</v>
      </c>
      <c r="D37">
        <v>1773051627.3906</v>
      </c>
      <c r="E37">
        <v>70.940796687175606</v>
      </c>
      <c r="F37">
        <v>1773051482</v>
      </c>
      <c r="G37">
        <v>1773051515</v>
      </c>
      <c r="H37">
        <v>33.451999999999998</v>
      </c>
      <c r="I37">
        <v>37.488796687175601</v>
      </c>
      <c r="J37">
        <v>37.488796687175601</v>
      </c>
      <c r="K37">
        <v>71.822573734689598</v>
      </c>
      <c r="L37">
        <v>112.390604972839</v>
      </c>
      <c r="M37">
        <v>112.390604972839</v>
      </c>
      <c r="N37" s="1">
        <v>6.3388232355289703E-6</v>
      </c>
      <c r="O37" s="2">
        <v>46090.430051504627</v>
      </c>
      <c r="P37" s="2">
        <v>46090.430872581019</v>
      </c>
      <c r="Q37" s="3" t="s">
        <v>53</v>
      </c>
      <c r="R37" s="3" t="s">
        <v>59</v>
      </c>
      <c r="T37">
        <f t="shared" si="0"/>
        <v>-37.488796687175608</v>
      </c>
    </row>
    <row r="38" spans="1:20" x14ac:dyDescent="0.3">
      <c r="A38">
        <v>37</v>
      </c>
      <c r="B38">
        <v>2</v>
      </c>
      <c r="C38">
        <v>1773051563.01687</v>
      </c>
      <c r="D38">
        <v>1773051605.68574</v>
      </c>
      <c r="E38">
        <v>42.668871837365202</v>
      </c>
      <c r="F38">
        <v>1773051483</v>
      </c>
      <c r="G38">
        <v>1773051543</v>
      </c>
      <c r="H38">
        <v>59.23</v>
      </c>
      <c r="I38">
        <v>-16.561128162634699</v>
      </c>
      <c r="J38">
        <v>16.561128162634699</v>
      </c>
      <c r="K38">
        <v>32.505027512114097</v>
      </c>
      <c r="L38">
        <v>62.685747861862097</v>
      </c>
      <c r="M38">
        <v>62.685747861862097</v>
      </c>
      <c r="N38" s="1">
        <v>3.5354723330647999E-6</v>
      </c>
      <c r="O38" s="2">
        <v>46090.430127511572</v>
      </c>
      <c r="P38" s="2">
        <v>46090.43062136574</v>
      </c>
      <c r="Q38" s="3" t="s">
        <v>56</v>
      </c>
      <c r="R38" s="3" t="s">
        <v>60</v>
      </c>
      <c r="T38">
        <f t="shared" si="0"/>
        <v>16.561128162634795</v>
      </c>
    </row>
    <row r="39" spans="1:20" x14ac:dyDescent="0.3">
      <c r="A39">
        <v>38</v>
      </c>
      <c r="B39">
        <v>3</v>
      </c>
      <c r="C39">
        <v>1773051565.8529601</v>
      </c>
      <c r="D39">
        <v>1773051618.45525</v>
      </c>
      <c r="E39">
        <v>52.6022913767181</v>
      </c>
      <c r="F39">
        <v>1773051501</v>
      </c>
      <c r="G39">
        <v>1773051564</v>
      </c>
      <c r="H39">
        <v>63.006999999999998</v>
      </c>
      <c r="I39">
        <v>-10.404708623281801</v>
      </c>
      <c r="J39">
        <v>10.404708623281801</v>
      </c>
      <c r="K39">
        <v>17.999779255419199</v>
      </c>
      <c r="L39">
        <v>54.455252885818403</v>
      </c>
      <c r="M39">
        <v>54.455252885818403</v>
      </c>
      <c r="N39" s="1">
        <v>3.0712728921844101E-6</v>
      </c>
      <c r="O39" s="2">
        <v>46090.430160335651</v>
      </c>
      <c r="P39" s="2">
        <v>46090.430769155093</v>
      </c>
      <c r="Q39" s="3" t="s">
        <v>58</v>
      </c>
      <c r="R39" s="3" t="s">
        <v>61</v>
      </c>
      <c r="T39">
        <f t="shared" si="0"/>
        <v>10.404708623281898</v>
      </c>
    </row>
    <row r="40" spans="1:20" x14ac:dyDescent="0.3">
      <c r="A40">
        <v>39</v>
      </c>
      <c r="B40">
        <v>4</v>
      </c>
      <c r="C40">
        <v>1773051586.09496</v>
      </c>
      <c r="D40">
        <v>1773051624.60638</v>
      </c>
      <c r="E40">
        <v>38.511429387212303</v>
      </c>
      <c r="F40">
        <v>1773051515</v>
      </c>
      <c r="G40">
        <v>1773051563</v>
      </c>
      <c r="H40">
        <v>48.828000000000003</v>
      </c>
      <c r="I40">
        <v>-10.316570612787601</v>
      </c>
      <c r="J40">
        <v>10.316570612787601</v>
      </c>
      <c r="K40">
        <v>23.624085215968002</v>
      </c>
      <c r="L40">
        <v>61.606389284133897</v>
      </c>
      <c r="M40">
        <v>61.606389284133897</v>
      </c>
      <c r="N40" s="1">
        <v>3.4745965373736298E-6</v>
      </c>
      <c r="O40" s="2">
        <v>46090.430394618059</v>
      </c>
      <c r="P40" s="2">
        <v>46090.430840347224</v>
      </c>
      <c r="Q40" s="3" t="s">
        <v>59</v>
      </c>
      <c r="R40" s="3" t="s">
        <v>51</v>
      </c>
      <c r="T40">
        <f t="shared" si="0"/>
        <v>10.3165706127877</v>
      </c>
    </row>
    <row r="41" spans="1:20" x14ac:dyDescent="0.3">
      <c r="A41">
        <v>40</v>
      </c>
      <c r="B41">
        <v>2</v>
      </c>
      <c r="C41">
        <v>1773051605.68574</v>
      </c>
      <c r="D41">
        <v>1773051647.6338201</v>
      </c>
      <c r="E41">
        <v>41.948073601220301</v>
      </c>
      <c r="F41">
        <v>1773051543</v>
      </c>
      <c r="G41">
        <v>1773051573</v>
      </c>
      <c r="H41">
        <v>30.416</v>
      </c>
      <c r="I41">
        <v>11.532073601220301</v>
      </c>
      <c r="J41">
        <v>11.532073601220301</v>
      </c>
      <c r="K41">
        <v>31.872372649363498</v>
      </c>
      <c r="L41">
        <v>74.633821487426701</v>
      </c>
      <c r="M41">
        <v>74.633821487426701</v>
      </c>
      <c r="N41" s="1">
        <v>4.2093428670182301E-6</v>
      </c>
      <c r="O41" s="2">
        <v>46090.43062136574</v>
      </c>
      <c r="P41" s="2">
        <v>46090.431106875003</v>
      </c>
      <c r="Q41" s="3" t="s">
        <v>60</v>
      </c>
      <c r="R41" s="3" t="s">
        <v>62</v>
      </c>
      <c r="T41">
        <f t="shared" si="0"/>
        <v>-11.532073601220301</v>
      </c>
    </row>
    <row r="42" spans="1:20" x14ac:dyDescent="0.3">
      <c r="A42">
        <v>41</v>
      </c>
      <c r="B42">
        <v>3</v>
      </c>
      <c r="C42">
        <v>1773051618.45525</v>
      </c>
      <c r="D42">
        <v>1773051650.1698999</v>
      </c>
      <c r="E42">
        <v>31.7146498297238</v>
      </c>
      <c r="F42">
        <v>1773051563</v>
      </c>
      <c r="G42">
        <v>1773051598</v>
      </c>
      <c r="H42">
        <v>35.201000000000001</v>
      </c>
      <c r="I42">
        <v>-3.4863501702761299</v>
      </c>
      <c r="J42">
        <v>3.4863501702761299</v>
      </c>
      <c r="K42">
        <v>10.420133942202201</v>
      </c>
      <c r="L42">
        <v>52.169902801513601</v>
      </c>
      <c r="M42">
        <v>52.169902801513601</v>
      </c>
      <c r="N42" s="1">
        <v>2.9423792343574799E-6</v>
      </c>
      <c r="O42" s="2">
        <v>46090.430769155093</v>
      </c>
      <c r="P42" s="2">
        <v>46090.431136226849</v>
      </c>
      <c r="Q42" s="3" t="s">
        <v>51</v>
      </c>
      <c r="R42" s="3" t="s">
        <v>63</v>
      </c>
      <c r="T42">
        <f t="shared" si="0"/>
        <v>3.4863501702762001</v>
      </c>
    </row>
    <row r="43" spans="1:20" x14ac:dyDescent="0.3">
      <c r="A43">
        <v>42</v>
      </c>
      <c r="B43">
        <v>4</v>
      </c>
      <c r="C43">
        <v>1773051624.60638</v>
      </c>
      <c r="D43">
        <v>1773051685.1821401</v>
      </c>
      <c r="E43">
        <v>60.575759171231603</v>
      </c>
      <c r="F43">
        <v>1773051563</v>
      </c>
      <c r="G43">
        <v>1773051593</v>
      </c>
      <c r="H43">
        <v>30.437000000000001</v>
      </c>
      <c r="I43">
        <v>30.138759171231602</v>
      </c>
      <c r="J43">
        <v>30.138759171231602</v>
      </c>
      <c r="K43">
        <v>66.229745028449202</v>
      </c>
      <c r="L43">
        <v>92.182148456573401</v>
      </c>
      <c r="M43">
        <v>92.182148456573401</v>
      </c>
      <c r="N43" s="1">
        <v>5.1990673268731802E-6</v>
      </c>
      <c r="O43" s="2">
        <v>46090.430840347224</v>
      </c>
      <c r="P43" s="2">
        <v>46090.431541458333</v>
      </c>
      <c r="Q43" s="3" t="s">
        <v>51</v>
      </c>
      <c r="R43" s="3" t="s">
        <v>64</v>
      </c>
      <c r="T43">
        <f t="shared" si="0"/>
        <v>-30.138759171231602</v>
      </c>
    </row>
    <row r="44" spans="1:20" x14ac:dyDescent="0.3">
      <c r="A44">
        <v>43</v>
      </c>
      <c r="B44">
        <v>1</v>
      </c>
      <c r="C44">
        <v>1773051627.3906</v>
      </c>
      <c r="D44">
        <v>1773051713.29707</v>
      </c>
      <c r="E44">
        <v>85.906471191176195</v>
      </c>
      <c r="F44">
        <v>1773051563</v>
      </c>
      <c r="G44">
        <v>1773051654</v>
      </c>
      <c r="H44">
        <v>90.41</v>
      </c>
      <c r="I44">
        <v>-4.5035288088237104</v>
      </c>
      <c r="J44">
        <v>4.5035288088237104</v>
      </c>
      <c r="K44">
        <v>5.1084606882140102</v>
      </c>
      <c r="L44">
        <v>59.297076225280698</v>
      </c>
      <c r="M44">
        <v>59.297076225280698</v>
      </c>
      <c r="N44" s="1">
        <v>3.3443512545139501E-6</v>
      </c>
      <c r="O44" s="2">
        <v>46090.430872581019</v>
      </c>
      <c r="P44" s="2">
        <v>46090.431866863422</v>
      </c>
      <c r="Q44" s="3" t="s">
        <v>51</v>
      </c>
      <c r="R44" s="3" t="s">
        <v>65</v>
      </c>
      <c r="T44">
        <f t="shared" si="0"/>
        <v>4.5035288088238019</v>
      </c>
    </row>
    <row r="45" spans="1:20" x14ac:dyDescent="0.3">
      <c r="A45">
        <v>44</v>
      </c>
      <c r="B45">
        <v>2</v>
      </c>
      <c r="C45">
        <v>1773051647.6338201</v>
      </c>
      <c r="D45">
        <v>1773051694.7492499</v>
      </c>
      <c r="E45">
        <v>47.115431537539898</v>
      </c>
      <c r="F45">
        <v>1773051573</v>
      </c>
      <c r="G45">
        <v>1773051611</v>
      </c>
      <c r="H45">
        <v>37.186999999999998</v>
      </c>
      <c r="I45">
        <v>9.9284315375399697</v>
      </c>
      <c r="J45">
        <v>9.9284315375399697</v>
      </c>
      <c r="K45">
        <v>23.554318319083901</v>
      </c>
      <c r="L45">
        <v>83.749253034591604</v>
      </c>
      <c r="M45">
        <v>83.749253034591604</v>
      </c>
      <c r="N45" s="1">
        <v>4.7234525231574596E-6</v>
      </c>
      <c r="O45" s="2">
        <v>46090.431106875003</v>
      </c>
      <c r="P45" s="2">
        <v>46090.431652187501</v>
      </c>
      <c r="Q45" s="3" t="s">
        <v>62</v>
      </c>
      <c r="R45" s="3" t="s">
        <v>66</v>
      </c>
      <c r="T45">
        <f t="shared" si="0"/>
        <v>-9.9284315375399004</v>
      </c>
    </row>
    <row r="46" spans="1:20" x14ac:dyDescent="0.3">
      <c r="A46">
        <v>45</v>
      </c>
      <c r="B46">
        <v>3</v>
      </c>
      <c r="C46">
        <v>1773051650.1698999</v>
      </c>
      <c r="D46">
        <v>1773051681.3197601</v>
      </c>
      <c r="E46">
        <v>31.149858962888601</v>
      </c>
      <c r="F46">
        <v>1773051593</v>
      </c>
      <c r="G46">
        <v>1773051632</v>
      </c>
      <c r="H46">
        <v>39.094999999999999</v>
      </c>
      <c r="I46">
        <v>-7.9451410371113198</v>
      </c>
      <c r="J46">
        <v>7.9451410371113198</v>
      </c>
      <c r="K46">
        <v>22.6212740815917</v>
      </c>
      <c r="L46">
        <v>49.319761753082197</v>
      </c>
      <c r="M46">
        <v>49.319761753082197</v>
      </c>
      <c r="N46" s="1">
        <v>2.7816314075130799E-6</v>
      </c>
      <c r="O46" s="2">
        <v>46090.431136226849</v>
      </c>
      <c r="P46" s="2">
        <v>46090.431496759258</v>
      </c>
      <c r="Q46" s="3" t="s">
        <v>64</v>
      </c>
      <c r="R46" s="3" t="s">
        <v>67</v>
      </c>
      <c r="T46">
        <f t="shared" si="0"/>
        <v>7.945141037111398</v>
      </c>
    </row>
    <row r="47" spans="1:20" x14ac:dyDescent="0.3">
      <c r="A47">
        <v>46</v>
      </c>
      <c r="B47">
        <v>3</v>
      </c>
      <c r="C47">
        <v>1773051681.3197601</v>
      </c>
      <c r="D47">
        <v>1773051721.3337801</v>
      </c>
      <c r="E47">
        <v>40.014028066063297</v>
      </c>
      <c r="F47">
        <v>1773051598</v>
      </c>
      <c r="G47">
        <v>1773051638</v>
      </c>
      <c r="H47">
        <v>39.363999999999997</v>
      </c>
      <c r="I47">
        <v>0.65002806606334196</v>
      </c>
      <c r="J47">
        <v>0.65002806606334196</v>
      </c>
      <c r="K47">
        <v>1.6378035128873401</v>
      </c>
      <c r="L47">
        <v>83.333789825439396</v>
      </c>
      <c r="M47">
        <v>83.333789825439396</v>
      </c>
      <c r="N47" s="1">
        <v>4.7000203536704202E-6</v>
      </c>
      <c r="O47" s="2">
        <v>46090.431496759258</v>
      </c>
      <c r="P47" s="2">
        <v>46090.431959884256</v>
      </c>
      <c r="Q47" s="3" t="s">
        <v>63</v>
      </c>
      <c r="R47" s="3" t="s">
        <v>68</v>
      </c>
      <c r="T47">
        <f t="shared" si="0"/>
        <v>-0.65002806606329955</v>
      </c>
    </row>
    <row r="48" spans="1:20" x14ac:dyDescent="0.3">
      <c r="A48">
        <v>47</v>
      </c>
      <c r="B48">
        <v>4</v>
      </c>
      <c r="C48">
        <v>1773051685.1821401</v>
      </c>
      <c r="D48">
        <v>1773051814.60115</v>
      </c>
      <c r="E48">
        <v>129.41900266250201</v>
      </c>
      <c r="F48">
        <v>1773051611</v>
      </c>
      <c r="G48">
        <v>1773051752</v>
      </c>
      <c r="H48">
        <v>140.96600000000001</v>
      </c>
      <c r="I48">
        <v>-11.546997337497499</v>
      </c>
      <c r="J48">
        <v>11.546997337497499</v>
      </c>
      <c r="K48">
        <v>8.5411522264869095</v>
      </c>
      <c r="L48">
        <v>62.601151227951</v>
      </c>
      <c r="M48">
        <v>62.601151227951</v>
      </c>
      <c r="N48" s="1">
        <v>3.5307006720027899E-6</v>
      </c>
      <c r="O48" s="2">
        <v>46090.431541458333</v>
      </c>
      <c r="P48" s="2">
        <v>46090.433039363423</v>
      </c>
      <c r="Q48" s="3" t="s">
        <v>66</v>
      </c>
      <c r="R48" s="3" t="s">
        <v>69</v>
      </c>
      <c r="T48">
        <f t="shared" si="0"/>
        <v>11.546997337497999</v>
      </c>
    </row>
    <row r="49" spans="1:20" x14ac:dyDescent="0.3">
      <c r="A49">
        <v>48</v>
      </c>
      <c r="B49">
        <v>2</v>
      </c>
      <c r="C49">
        <v>1773051694.7492499</v>
      </c>
      <c r="D49">
        <v>1773051803.9363799</v>
      </c>
      <c r="E49">
        <v>109.187127942264</v>
      </c>
      <c r="F49">
        <v>1773051632</v>
      </c>
      <c r="G49">
        <v>1773051720</v>
      </c>
      <c r="H49">
        <v>88.820999999999998</v>
      </c>
      <c r="I49">
        <v>20.3661279422641</v>
      </c>
      <c r="J49">
        <v>20.3661279422641</v>
      </c>
      <c r="K49">
        <v>20.5710019623058</v>
      </c>
      <c r="L49">
        <v>83.936380863189697</v>
      </c>
      <c r="M49">
        <v>83.936380863189697</v>
      </c>
      <c r="N49" s="1">
        <v>4.7340062294636798E-6</v>
      </c>
      <c r="O49" s="2">
        <v>46090.431652187501</v>
      </c>
      <c r="P49" s="2">
        <v>46090.432915925929</v>
      </c>
      <c r="Q49" s="3" t="s">
        <v>67</v>
      </c>
      <c r="R49" s="3" t="s">
        <v>70</v>
      </c>
      <c r="T49">
        <f t="shared" si="0"/>
        <v>-20.366127942264001</v>
      </c>
    </row>
    <row r="50" spans="1:20" x14ac:dyDescent="0.3">
      <c r="A50">
        <v>49</v>
      </c>
      <c r="B50">
        <v>1</v>
      </c>
      <c r="C50">
        <v>1773051713.29707</v>
      </c>
      <c r="D50">
        <v>1773051801.9044399</v>
      </c>
      <c r="E50">
        <v>88.6073664203264</v>
      </c>
      <c r="F50">
        <v>1773051638</v>
      </c>
      <c r="G50">
        <v>1773051720</v>
      </c>
      <c r="H50">
        <v>82.004000000000005</v>
      </c>
      <c r="I50">
        <v>6.6033664203264202</v>
      </c>
      <c r="J50">
        <v>6.6033664203264202</v>
      </c>
      <c r="K50">
        <v>7.7408282447700998</v>
      </c>
      <c r="L50">
        <v>81.904442548751803</v>
      </c>
      <c r="M50">
        <v>81.904442548751803</v>
      </c>
      <c r="N50" s="1">
        <v>4.6194050479814998E-6</v>
      </c>
      <c r="O50" s="2">
        <v>46090.431866863422</v>
      </c>
      <c r="P50" s="2">
        <v>46090.432892407407</v>
      </c>
      <c r="Q50" s="3" t="s">
        <v>68</v>
      </c>
      <c r="R50" s="3" t="s">
        <v>70</v>
      </c>
      <c r="T50">
        <f t="shared" si="0"/>
        <v>-6.6033664203263953</v>
      </c>
    </row>
    <row r="51" spans="1:20" x14ac:dyDescent="0.3">
      <c r="A51">
        <v>50</v>
      </c>
      <c r="B51">
        <v>3</v>
      </c>
      <c r="C51">
        <v>1773051721.3337801</v>
      </c>
      <c r="D51">
        <v>1773051786.9474101</v>
      </c>
      <c r="E51">
        <v>65.613627952909596</v>
      </c>
      <c r="F51">
        <v>1773051654</v>
      </c>
      <c r="G51">
        <v>1773051679</v>
      </c>
      <c r="H51">
        <v>24.875</v>
      </c>
      <c r="I51">
        <v>40.738627952909603</v>
      </c>
      <c r="J51">
        <v>40.738627952909603</v>
      </c>
      <c r="K51">
        <v>90.041431447297597</v>
      </c>
      <c r="L51">
        <v>107.947417736053</v>
      </c>
      <c r="M51">
        <v>107.947417736053</v>
      </c>
      <c r="N51" s="1">
        <v>6.0882271920519299E-6</v>
      </c>
      <c r="O51" s="2">
        <v>46090.431959884256</v>
      </c>
      <c r="P51" s="2">
        <v>46090.432719293982</v>
      </c>
      <c r="Q51" s="3" t="s">
        <v>65</v>
      </c>
      <c r="R51" s="3" t="s">
        <v>71</v>
      </c>
      <c r="T51">
        <f t="shared" si="0"/>
        <v>-40.738627952909596</v>
      </c>
    </row>
    <row r="52" spans="1:20" x14ac:dyDescent="0.3">
      <c r="A52">
        <v>51</v>
      </c>
      <c r="B52">
        <v>3</v>
      </c>
      <c r="C52">
        <v>1773051786.9474101</v>
      </c>
      <c r="D52">
        <v>1773051825.4289899</v>
      </c>
      <c r="E52">
        <v>38.481572912367596</v>
      </c>
      <c r="F52">
        <v>1773051679</v>
      </c>
      <c r="G52">
        <v>1773051720</v>
      </c>
      <c r="H52">
        <v>41.027999999999999</v>
      </c>
      <c r="I52">
        <v>-2.5464270876323298</v>
      </c>
      <c r="J52">
        <v>2.5464270876323298</v>
      </c>
      <c r="K52">
        <v>6.4053345889278201</v>
      </c>
      <c r="L52">
        <v>105.428990602493</v>
      </c>
      <c r="M52">
        <v>105.428990602493</v>
      </c>
      <c r="N52" s="1">
        <v>5.9461879356790696E-6</v>
      </c>
      <c r="O52" s="2">
        <v>46090.432719293982</v>
      </c>
      <c r="P52" s="2">
        <v>46090.4331646875</v>
      </c>
      <c r="Q52" s="3" t="s">
        <v>71</v>
      </c>
      <c r="R52" s="3" t="s">
        <v>70</v>
      </c>
      <c r="T52">
        <f t="shared" si="0"/>
        <v>2.5464270876324022</v>
      </c>
    </row>
    <row r="53" spans="1:20" x14ac:dyDescent="0.3">
      <c r="A53">
        <v>52</v>
      </c>
      <c r="B53">
        <v>1</v>
      </c>
      <c r="C53">
        <v>1773051801.9044399</v>
      </c>
      <c r="D53">
        <v>1773051894.6531999</v>
      </c>
      <c r="E53">
        <v>92.748757892035002</v>
      </c>
      <c r="F53">
        <v>1773051719</v>
      </c>
      <c r="G53">
        <v>1773051837</v>
      </c>
      <c r="H53">
        <v>118.265</v>
      </c>
      <c r="I53">
        <v>-25.516242107964899</v>
      </c>
      <c r="J53">
        <v>25.516242107964899</v>
      </c>
      <c r="K53">
        <v>24.184434572290002</v>
      </c>
      <c r="L53">
        <v>57.653200387954698</v>
      </c>
      <c r="M53">
        <v>57.653200387954698</v>
      </c>
      <c r="N53" s="1">
        <v>3.2516364297711399E-6</v>
      </c>
      <c r="O53" s="2">
        <v>46090.432892407407</v>
      </c>
      <c r="P53" s="2">
        <v>46090.433965891207</v>
      </c>
      <c r="Q53" s="3" t="s">
        <v>72</v>
      </c>
      <c r="R53" s="3" t="s">
        <v>73</v>
      </c>
      <c r="T53">
        <f t="shared" si="0"/>
        <v>25.516242107964999</v>
      </c>
    </row>
    <row r="54" spans="1:20" x14ac:dyDescent="0.3">
      <c r="A54">
        <v>53</v>
      </c>
      <c r="B54">
        <v>2</v>
      </c>
      <c r="C54">
        <v>1773051803.9363799</v>
      </c>
      <c r="D54">
        <v>1773051905.53514</v>
      </c>
      <c r="E54">
        <v>101.59876311295</v>
      </c>
      <c r="F54">
        <v>1773051719</v>
      </c>
      <c r="G54">
        <v>1773051839</v>
      </c>
      <c r="H54">
        <v>119.389</v>
      </c>
      <c r="I54">
        <v>-17.790236887049801</v>
      </c>
      <c r="J54">
        <v>17.790236887049801</v>
      </c>
      <c r="K54">
        <v>16.100653390438602</v>
      </c>
      <c r="L54">
        <v>66.535144090652395</v>
      </c>
      <c r="M54">
        <v>66.535144090652395</v>
      </c>
      <c r="N54" s="1">
        <v>3.7525774136297499E-6</v>
      </c>
      <c r="O54" s="2">
        <v>46090.432915925929</v>
      </c>
      <c r="P54" s="2">
        <v>46090.434091840281</v>
      </c>
      <c r="Q54" s="3" t="s">
        <v>72</v>
      </c>
      <c r="R54" s="3" t="s">
        <v>74</v>
      </c>
      <c r="T54">
        <f t="shared" si="0"/>
        <v>17.79023688705</v>
      </c>
    </row>
    <row r="55" spans="1:20" x14ac:dyDescent="0.3">
      <c r="A55">
        <v>54</v>
      </c>
      <c r="B55">
        <v>4</v>
      </c>
      <c r="C55">
        <v>1773051814.60115</v>
      </c>
      <c r="D55">
        <v>1773051947.95945</v>
      </c>
      <c r="E55">
        <v>133.35830612464301</v>
      </c>
      <c r="F55">
        <v>1773051720</v>
      </c>
      <c r="G55">
        <v>1773051864</v>
      </c>
      <c r="H55">
        <v>144.33799999999999</v>
      </c>
      <c r="I55">
        <v>-10.9796938753561</v>
      </c>
      <c r="J55">
        <v>10.9796938753561</v>
      </c>
      <c r="K55">
        <v>7.9076989021437702</v>
      </c>
      <c r="L55">
        <v>83.959457397460895</v>
      </c>
      <c r="M55">
        <v>83.959457397460895</v>
      </c>
      <c r="N55" s="1">
        <v>4.7353073598298097E-6</v>
      </c>
      <c r="O55" s="2">
        <v>46090.433039363423</v>
      </c>
      <c r="P55" s="2">
        <v>46090.434582858798</v>
      </c>
      <c r="Q55" s="3" t="s">
        <v>70</v>
      </c>
      <c r="R55" s="3" t="s">
        <v>75</v>
      </c>
      <c r="T55">
        <f t="shared" si="0"/>
        <v>10.979693875356986</v>
      </c>
    </row>
    <row r="56" spans="1:20" x14ac:dyDescent="0.3">
      <c r="A56">
        <v>55</v>
      </c>
      <c r="B56">
        <v>3</v>
      </c>
      <c r="C56">
        <v>1773051825.4289899</v>
      </c>
      <c r="D56">
        <v>1773051917.3176999</v>
      </c>
      <c r="E56">
        <v>91.888713982430502</v>
      </c>
      <c r="F56">
        <v>1773051751</v>
      </c>
      <c r="G56">
        <v>1773051870</v>
      </c>
      <c r="H56">
        <v>118.134</v>
      </c>
      <c r="I56">
        <v>-26.245286017569398</v>
      </c>
      <c r="J56">
        <v>26.245286017569398</v>
      </c>
      <c r="K56">
        <v>24.992807225379401</v>
      </c>
      <c r="L56">
        <v>47.317704677581702</v>
      </c>
      <c r="M56">
        <v>47.317704677581702</v>
      </c>
      <c r="N56" s="1">
        <v>2.6687151598218202E-6</v>
      </c>
      <c r="O56" s="2">
        <v>46090.4331646875</v>
      </c>
      <c r="P56" s="2">
        <v>46090.434228217593</v>
      </c>
      <c r="Q56" s="3" t="s">
        <v>76</v>
      </c>
      <c r="R56" s="3" t="s">
        <v>77</v>
      </c>
      <c r="T56">
        <f t="shared" si="0"/>
        <v>26.245286017569498</v>
      </c>
    </row>
    <row r="57" spans="1:20" x14ac:dyDescent="0.3">
      <c r="A57">
        <v>56</v>
      </c>
      <c r="B57">
        <v>1</v>
      </c>
      <c r="C57">
        <v>1773051894.6531999</v>
      </c>
      <c r="D57">
        <v>1773051969.07301</v>
      </c>
      <c r="E57">
        <v>74.419818589132703</v>
      </c>
      <c r="F57">
        <v>1773051837</v>
      </c>
      <c r="G57">
        <v>1773051922</v>
      </c>
      <c r="H57">
        <v>84.88</v>
      </c>
      <c r="I57">
        <v>-10.4601814108672</v>
      </c>
      <c r="J57">
        <v>10.4601814108672</v>
      </c>
      <c r="K57">
        <v>13.1326972039386</v>
      </c>
      <c r="L57">
        <v>47.073019027709897</v>
      </c>
      <c r="M57">
        <v>47.073019027709897</v>
      </c>
      <c r="N57" s="1">
        <v>2.6549148289880502E-6</v>
      </c>
      <c r="O57" s="2">
        <v>46090.433965891207</v>
      </c>
      <c r="P57" s="2">
        <v>46090.434827233796</v>
      </c>
      <c r="Q57" s="3" t="s">
        <v>73</v>
      </c>
      <c r="R57" s="3" t="s">
        <v>78</v>
      </c>
      <c r="T57">
        <f t="shared" si="0"/>
        <v>10.460181410867293</v>
      </c>
    </row>
    <row r="58" spans="1:20" x14ac:dyDescent="0.3">
      <c r="A58">
        <v>57</v>
      </c>
      <c r="B58">
        <v>2</v>
      </c>
      <c r="C58">
        <v>1773051905.53514</v>
      </c>
      <c r="D58">
        <v>1773051948.0608399</v>
      </c>
      <c r="E58">
        <v>42.525701485218498</v>
      </c>
      <c r="F58">
        <v>1773051838</v>
      </c>
      <c r="G58">
        <v>1773051877</v>
      </c>
      <c r="H58">
        <v>39.204000000000001</v>
      </c>
      <c r="I58">
        <v>3.32170148521852</v>
      </c>
      <c r="J58">
        <v>3.32170148521852</v>
      </c>
      <c r="K58">
        <v>8.1285051207957295</v>
      </c>
      <c r="L58">
        <v>71.0608456134796</v>
      </c>
      <c r="M58">
        <v>71.0608456134796</v>
      </c>
      <c r="N58" s="1">
        <v>4.0078265679240404E-6</v>
      </c>
      <c r="O58" s="2">
        <v>46090.434091840281</v>
      </c>
      <c r="P58" s="2">
        <v>46090.434584039351</v>
      </c>
      <c r="Q58" s="3" t="s">
        <v>79</v>
      </c>
      <c r="R58" s="3" t="s">
        <v>80</v>
      </c>
      <c r="T58">
        <f t="shared" si="0"/>
        <v>-3.3217014852184974</v>
      </c>
    </row>
    <row r="59" spans="1:20" x14ac:dyDescent="0.3">
      <c r="A59">
        <v>58</v>
      </c>
      <c r="B59">
        <v>3</v>
      </c>
      <c r="C59">
        <v>1773051917.3176999</v>
      </c>
      <c r="D59">
        <v>1773052033.7412601</v>
      </c>
      <c r="E59">
        <v>116.42355852830499</v>
      </c>
      <c r="F59">
        <v>1773051863</v>
      </c>
      <c r="G59">
        <v>1773051967</v>
      </c>
      <c r="H59">
        <v>103.16200000000001</v>
      </c>
      <c r="I59">
        <v>13.261558528305301</v>
      </c>
      <c r="J59">
        <v>13.261558528305301</v>
      </c>
      <c r="K59">
        <v>12.0787164849876</v>
      </c>
      <c r="L59">
        <v>66.741263151168795</v>
      </c>
      <c r="M59">
        <v>66.741263151168795</v>
      </c>
      <c r="N59" s="1">
        <v>3.7642022420784799E-6</v>
      </c>
      <c r="O59" s="2">
        <v>46090.434228217593</v>
      </c>
      <c r="P59" s="2">
        <v>46090.435575706018</v>
      </c>
      <c r="Q59" s="3" t="s">
        <v>81</v>
      </c>
      <c r="R59" s="3" t="s">
        <v>82</v>
      </c>
      <c r="T59">
        <f t="shared" si="0"/>
        <v>-13.261558528304988</v>
      </c>
    </row>
    <row r="60" spans="1:20" x14ac:dyDescent="0.3">
      <c r="A60">
        <v>59</v>
      </c>
      <c r="B60">
        <v>4</v>
      </c>
      <c r="C60">
        <v>1773051947.95945</v>
      </c>
      <c r="D60">
        <v>1773051993.3777101</v>
      </c>
      <c r="E60">
        <v>45.418260745322002</v>
      </c>
      <c r="F60">
        <v>1773051870</v>
      </c>
      <c r="G60">
        <v>1773051899</v>
      </c>
      <c r="H60">
        <v>29.131</v>
      </c>
      <c r="I60">
        <v>16.287260745322001</v>
      </c>
      <c r="J60">
        <v>16.287260745322001</v>
      </c>
      <c r="K60">
        <v>43.695297800371698</v>
      </c>
      <c r="L60">
        <v>94.377718210220294</v>
      </c>
      <c r="M60">
        <v>94.377718210220294</v>
      </c>
      <c r="N60" s="1">
        <v>5.3228963997971601E-6</v>
      </c>
      <c r="O60" s="2">
        <v>46090.434582858798</v>
      </c>
      <c r="P60" s="2">
        <v>46090.435108541664</v>
      </c>
      <c r="Q60" s="3" t="s">
        <v>77</v>
      </c>
      <c r="R60" s="3" t="s">
        <v>83</v>
      </c>
      <c r="T60">
        <f t="shared" si="0"/>
        <v>-16.287260745322001</v>
      </c>
    </row>
    <row r="61" spans="1:20" x14ac:dyDescent="0.3">
      <c r="A61">
        <v>60</v>
      </c>
      <c r="B61">
        <v>2</v>
      </c>
      <c r="C61">
        <v>1773051948.0608399</v>
      </c>
      <c r="D61">
        <v>1773052030.0899799</v>
      </c>
      <c r="E61">
        <v>82.029142427188205</v>
      </c>
      <c r="F61">
        <v>1773051877</v>
      </c>
      <c r="G61">
        <v>1773051939</v>
      </c>
      <c r="H61">
        <v>61.146999999999998</v>
      </c>
      <c r="I61">
        <v>20.882142427188199</v>
      </c>
      <c r="J61">
        <v>20.882142427188199</v>
      </c>
      <c r="K61">
        <v>29.1698631813716</v>
      </c>
      <c r="L61">
        <v>91.0899879932403</v>
      </c>
      <c r="M61">
        <v>91.0899879932403</v>
      </c>
      <c r="N61" s="1">
        <v>5.1374685450419003E-6</v>
      </c>
      <c r="O61" s="2">
        <v>46090.434584039351</v>
      </c>
      <c r="P61" s="2">
        <v>46090.435533449076</v>
      </c>
      <c r="Q61" s="3" t="s">
        <v>80</v>
      </c>
      <c r="R61" s="3" t="s">
        <v>84</v>
      </c>
      <c r="T61">
        <f t="shared" si="0"/>
        <v>-20.882142427188207</v>
      </c>
    </row>
    <row r="62" spans="1:20" x14ac:dyDescent="0.3">
      <c r="A62">
        <v>61</v>
      </c>
      <c r="B62">
        <v>1</v>
      </c>
      <c r="C62">
        <v>1773051969.07301</v>
      </c>
      <c r="D62">
        <v>1773052101.88573</v>
      </c>
      <c r="E62">
        <v>132.81271644448199</v>
      </c>
      <c r="F62">
        <v>1773051899</v>
      </c>
      <c r="G62">
        <v>1773052014</v>
      </c>
      <c r="H62">
        <v>114.723</v>
      </c>
      <c r="I62">
        <v>18.089716444482299</v>
      </c>
      <c r="J62">
        <v>18.089716444482299</v>
      </c>
      <c r="K62">
        <v>14.615843486602101</v>
      </c>
      <c r="L62">
        <v>87.8857355117797</v>
      </c>
      <c r="M62">
        <v>87.8857355117797</v>
      </c>
      <c r="N62" s="1">
        <v>4.9567487383166098E-6</v>
      </c>
      <c r="O62" s="2">
        <v>46090.434827233796</v>
      </c>
      <c r="P62" s="2">
        <v>46090.436364421294</v>
      </c>
      <c r="Q62" s="3" t="s">
        <v>83</v>
      </c>
      <c r="R62" s="3" t="s">
        <v>85</v>
      </c>
      <c r="T62">
        <f t="shared" si="0"/>
        <v>-18.089716444481994</v>
      </c>
    </row>
    <row r="63" spans="1:20" x14ac:dyDescent="0.3">
      <c r="A63">
        <v>62</v>
      </c>
      <c r="B63">
        <v>4</v>
      </c>
      <c r="C63">
        <v>1773051993.3777101</v>
      </c>
      <c r="D63">
        <v>1773052101.9870901</v>
      </c>
      <c r="E63">
        <v>108.609372554777</v>
      </c>
      <c r="F63">
        <v>1773051922</v>
      </c>
      <c r="G63">
        <v>1773052024</v>
      </c>
      <c r="H63">
        <v>101.61799999999999</v>
      </c>
      <c r="I63">
        <v>6.9913725547771799</v>
      </c>
      <c r="J63">
        <v>6.9913725547771799</v>
      </c>
      <c r="K63">
        <v>6.6512485694083399</v>
      </c>
      <c r="L63">
        <v>77.987090826034503</v>
      </c>
      <c r="M63">
        <v>77.987090826034503</v>
      </c>
      <c r="N63" s="1">
        <v>4.3984659251553199E-6</v>
      </c>
      <c r="O63" s="2">
        <v>46090.435108541664</v>
      </c>
      <c r="P63" s="2">
        <v>46090.436365590278</v>
      </c>
      <c r="Q63" s="3" t="s">
        <v>78</v>
      </c>
      <c r="R63" s="3" t="s">
        <v>86</v>
      </c>
      <c r="T63">
        <f t="shared" si="0"/>
        <v>-6.9913725547770014</v>
      </c>
    </row>
    <row r="64" spans="1:20" x14ac:dyDescent="0.3">
      <c r="A64">
        <v>63</v>
      </c>
      <c r="B64">
        <v>2</v>
      </c>
      <c r="C64">
        <v>1773052030.0899799</v>
      </c>
      <c r="D64">
        <v>1773052124.4277301</v>
      </c>
      <c r="E64">
        <v>94.337747856312603</v>
      </c>
      <c r="F64">
        <v>1773051938</v>
      </c>
      <c r="G64">
        <v>1773052052</v>
      </c>
      <c r="H64">
        <v>113.67</v>
      </c>
      <c r="I64">
        <v>-19.332252143687398</v>
      </c>
      <c r="J64">
        <v>19.332252143687398</v>
      </c>
      <c r="K64">
        <v>18.5880115937236</v>
      </c>
      <c r="L64">
        <v>72.427735805511404</v>
      </c>
      <c r="M64">
        <v>72.427735805511404</v>
      </c>
      <c r="N64" s="1">
        <v>4.0849186714234302E-6</v>
      </c>
      <c r="O64" s="2">
        <v>46090.435533449076</v>
      </c>
      <c r="P64" s="2">
        <v>46090.436625324073</v>
      </c>
      <c r="Q64" s="3" t="s">
        <v>87</v>
      </c>
      <c r="R64" s="3" t="s">
        <v>88</v>
      </c>
      <c r="T64">
        <f t="shared" si="0"/>
        <v>19.332252143687398</v>
      </c>
    </row>
    <row r="65" spans="1:20" x14ac:dyDescent="0.3">
      <c r="A65">
        <v>64</v>
      </c>
      <c r="B65">
        <v>3</v>
      </c>
      <c r="C65">
        <v>1773052033.7412601</v>
      </c>
      <c r="D65">
        <v>1773052122.5888</v>
      </c>
      <c r="E65">
        <v>88.847543074491597</v>
      </c>
      <c r="F65">
        <v>1773051967</v>
      </c>
      <c r="G65">
        <v>1773052042</v>
      </c>
      <c r="H65">
        <v>75.174000000000007</v>
      </c>
      <c r="I65">
        <v>13.673543074491599</v>
      </c>
      <c r="J65">
        <v>13.673543074491599</v>
      </c>
      <c r="K65">
        <v>16.672862379159099</v>
      </c>
      <c r="L65">
        <v>80.588806152343693</v>
      </c>
      <c r="M65">
        <v>80.588806152343693</v>
      </c>
      <c r="N65" s="1">
        <v>4.5452024200021498E-6</v>
      </c>
      <c r="O65" s="2">
        <v>46090.435575706018</v>
      </c>
      <c r="P65" s="2">
        <v>46090.436604039351</v>
      </c>
      <c r="Q65" s="3" t="s">
        <v>82</v>
      </c>
      <c r="R65" s="3" t="s">
        <v>89</v>
      </c>
      <c r="T65">
        <f t="shared" si="0"/>
        <v>-13.67354307449159</v>
      </c>
    </row>
    <row r="66" spans="1:20" x14ac:dyDescent="0.3">
      <c r="A66">
        <v>65</v>
      </c>
      <c r="B66">
        <v>1</v>
      </c>
      <c r="C66">
        <v>1773052101.88573</v>
      </c>
      <c r="D66">
        <v>1773052211.26247</v>
      </c>
      <c r="E66">
        <v>109.376742984926</v>
      </c>
      <c r="F66">
        <v>1773052014</v>
      </c>
      <c r="G66">
        <v>1773052136</v>
      </c>
      <c r="H66">
        <v>121.727</v>
      </c>
      <c r="I66">
        <v>-12.350257015073399</v>
      </c>
      <c r="J66">
        <v>12.350257015073399</v>
      </c>
      <c r="K66">
        <v>10.688063166401299</v>
      </c>
      <c r="L66">
        <v>75.262478590011597</v>
      </c>
      <c r="M66">
        <v>75.262478590011597</v>
      </c>
      <c r="N66" s="1">
        <v>4.2447977397006199E-6</v>
      </c>
      <c r="O66" s="2">
        <v>46090.436364421294</v>
      </c>
      <c r="P66" s="2">
        <v>46090.437630347224</v>
      </c>
      <c r="Q66" s="3" t="s">
        <v>85</v>
      </c>
      <c r="R66" s="3" t="s">
        <v>90</v>
      </c>
      <c r="T66">
        <f t="shared" si="0"/>
        <v>12.350257015074007</v>
      </c>
    </row>
    <row r="67" spans="1:20" x14ac:dyDescent="0.3">
      <c r="A67">
        <v>66</v>
      </c>
      <c r="B67">
        <v>4</v>
      </c>
      <c r="C67">
        <v>1773052101.9870901</v>
      </c>
      <c r="D67">
        <v>1773052149.3938799</v>
      </c>
      <c r="E67">
        <v>47.406790199365403</v>
      </c>
      <c r="F67">
        <v>1773052024</v>
      </c>
      <c r="G67">
        <v>1773052080</v>
      </c>
      <c r="H67">
        <v>56.145000000000003</v>
      </c>
      <c r="I67">
        <v>-8.7382098006345696</v>
      </c>
      <c r="J67">
        <v>8.7382098006345696</v>
      </c>
      <c r="K67">
        <v>16.876984519168801</v>
      </c>
      <c r="L67">
        <v>69.393881082534705</v>
      </c>
      <c r="M67">
        <v>69.393881082534705</v>
      </c>
      <c r="N67" s="1">
        <v>3.9138094423353097E-6</v>
      </c>
      <c r="O67" s="2">
        <v>46090.436365590278</v>
      </c>
      <c r="P67" s="2">
        <v>46090.436914282407</v>
      </c>
      <c r="Q67" s="3" t="s">
        <v>86</v>
      </c>
      <c r="R67" s="3" t="s">
        <v>91</v>
      </c>
      <c r="T67">
        <f t="shared" ref="T67:T119" si="1">H67-E67</f>
        <v>8.7382098006345998</v>
      </c>
    </row>
    <row r="68" spans="1:20" x14ac:dyDescent="0.3">
      <c r="A68">
        <v>67</v>
      </c>
      <c r="B68">
        <v>3</v>
      </c>
      <c r="C68">
        <v>1773052122.5888</v>
      </c>
      <c r="D68">
        <v>1773052204.28918</v>
      </c>
      <c r="E68">
        <v>81.700382394496302</v>
      </c>
      <c r="F68">
        <v>1773052042</v>
      </c>
      <c r="G68">
        <v>1773052125</v>
      </c>
      <c r="H68">
        <v>82.858999999999995</v>
      </c>
      <c r="I68">
        <v>-1.1586176055036199</v>
      </c>
      <c r="J68">
        <v>1.1586176055036199</v>
      </c>
      <c r="K68">
        <v>1.40814530128228</v>
      </c>
      <c r="L68">
        <v>79.289188623428302</v>
      </c>
      <c r="M68">
        <v>79.289188623428302</v>
      </c>
      <c r="N68" s="1">
        <v>4.4719038844140098E-6</v>
      </c>
      <c r="O68" s="2">
        <v>46090.436604039351</v>
      </c>
      <c r="P68" s="2">
        <v>46090.437549641203</v>
      </c>
      <c r="Q68" s="3" t="s">
        <v>89</v>
      </c>
      <c r="R68" s="3" t="s">
        <v>92</v>
      </c>
      <c r="T68">
        <f t="shared" si="1"/>
        <v>1.158617605503693</v>
      </c>
    </row>
    <row r="69" spans="1:20" x14ac:dyDescent="0.3">
      <c r="A69">
        <v>68</v>
      </c>
      <c r="B69">
        <v>2</v>
      </c>
      <c r="C69">
        <v>1773052124.4277301</v>
      </c>
      <c r="D69">
        <v>1773052180.1784501</v>
      </c>
      <c r="E69">
        <v>55.750721351613102</v>
      </c>
      <c r="F69">
        <v>1773052051</v>
      </c>
      <c r="G69">
        <v>1773052116</v>
      </c>
      <c r="H69">
        <v>64.257999999999996</v>
      </c>
      <c r="I69">
        <v>-8.5072786483868192</v>
      </c>
      <c r="J69">
        <v>8.5072786483868192</v>
      </c>
      <c r="K69">
        <v>14.177767336527699</v>
      </c>
      <c r="L69">
        <v>64.178457260131793</v>
      </c>
      <c r="M69">
        <v>64.178457260131793</v>
      </c>
      <c r="N69" s="1">
        <v>3.6196598802407001E-6</v>
      </c>
      <c r="O69" s="2">
        <v>46090.436625324073</v>
      </c>
      <c r="P69" s="2">
        <v>46090.437270578703</v>
      </c>
      <c r="Q69" s="3" t="s">
        <v>93</v>
      </c>
      <c r="R69" s="3" t="s">
        <v>94</v>
      </c>
      <c r="T69">
        <f t="shared" si="1"/>
        <v>8.5072786483868938</v>
      </c>
    </row>
    <row r="70" spans="1:20" x14ac:dyDescent="0.3">
      <c r="A70">
        <v>69</v>
      </c>
      <c r="B70">
        <v>4</v>
      </c>
      <c r="C70">
        <v>1773052149.3938799</v>
      </c>
      <c r="D70">
        <v>1773052260.33184</v>
      </c>
      <c r="E70">
        <v>110.937965706196</v>
      </c>
      <c r="F70">
        <v>1773052080</v>
      </c>
      <c r="G70">
        <v>1773052158</v>
      </c>
      <c r="H70">
        <v>77.992000000000004</v>
      </c>
      <c r="I70">
        <v>32.945965706196297</v>
      </c>
      <c r="J70">
        <v>32.945965706196297</v>
      </c>
      <c r="K70">
        <v>34.876379279537197</v>
      </c>
      <c r="L70">
        <v>102.33184671401899</v>
      </c>
      <c r="M70">
        <v>102.33184671401899</v>
      </c>
      <c r="N70" s="1">
        <v>5.7715078092459796E-6</v>
      </c>
      <c r="O70" s="2">
        <v>46090.436914282407</v>
      </c>
      <c r="P70" s="2">
        <v>46090.43819828704</v>
      </c>
      <c r="Q70" s="3" t="s">
        <v>91</v>
      </c>
      <c r="R70" s="3" t="s">
        <v>95</v>
      </c>
      <c r="T70">
        <f t="shared" si="1"/>
        <v>-32.945965706195992</v>
      </c>
    </row>
    <row r="71" spans="1:20" x14ac:dyDescent="0.3">
      <c r="A71">
        <v>70</v>
      </c>
      <c r="B71">
        <v>2</v>
      </c>
      <c r="C71">
        <v>1773052180.1784501</v>
      </c>
      <c r="D71">
        <v>1773052228.7311299</v>
      </c>
      <c r="E71">
        <v>48.5526803312857</v>
      </c>
      <c r="F71">
        <v>1773052115</v>
      </c>
      <c r="G71">
        <v>1773052169</v>
      </c>
      <c r="H71">
        <v>53.945999999999998</v>
      </c>
      <c r="I71">
        <v>-5.3933196687142404</v>
      </c>
      <c r="J71">
        <v>5.3933196687142404</v>
      </c>
      <c r="K71">
        <v>10.523686063630199</v>
      </c>
      <c r="L71">
        <v>59.731137514114302</v>
      </c>
      <c r="M71">
        <v>59.731137514114302</v>
      </c>
      <c r="N71" s="1">
        <v>3.3688313041393499E-6</v>
      </c>
      <c r="O71" s="2">
        <v>46090.437270578703</v>
      </c>
      <c r="P71" s="2">
        <v>46090.437832534721</v>
      </c>
      <c r="Q71" s="3" t="s">
        <v>96</v>
      </c>
      <c r="R71" s="3" t="s">
        <v>97</v>
      </c>
      <c r="T71">
        <f t="shared" si="1"/>
        <v>5.3933196687142981</v>
      </c>
    </row>
    <row r="72" spans="1:20" x14ac:dyDescent="0.3">
      <c r="A72">
        <v>71</v>
      </c>
      <c r="B72">
        <v>3</v>
      </c>
      <c r="C72">
        <v>1773052204.28918</v>
      </c>
      <c r="D72">
        <v>1773052264.4800799</v>
      </c>
      <c r="E72">
        <v>60.190897248668797</v>
      </c>
      <c r="F72">
        <v>1773052125</v>
      </c>
      <c r="G72">
        <v>1773052184</v>
      </c>
      <c r="H72">
        <v>58.57</v>
      </c>
      <c r="I72">
        <v>1.62089724866884</v>
      </c>
      <c r="J72">
        <v>1.62089724866884</v>
      </c>
      <c r="K72">
        <v>2.7296817154806599</v>
      </c>
      <c r="L72">
        <v>80.480085849761906</v>
      </c>
      <c r="M72">
        <v>80.480085849761906</v>
      </c>
      <c r="N72" s="1">
        <v>4.5390702399788004E-6</v>
      </c>
      <c r="O72" s="2">
        <v>46090.437549641203</v>
      </c>
      <c r="P72" s="2">
        <v>46090.438246296297</v>
      </c>
      <c r="Q72" s="3" t="s">
        <v>92</v>
      </c>
      <c r="R72" s="3" t="s">
        <v>98</v>
      </c>
      <c r="T72">
        <f t="shared" si="1"/>
        <v>-1.6208972486687969</v>
      </c>
    </row>
    <row r="73" spans="1:20" x14ac:dyDescent="0.3">
      <c r="A73">
        <v>72</v>
      </c>
      <c r="B73">
        <v>1</v>
      </c>
      <c r="C73">
        <v>1773052211.26247</v>
      </c>
      <c r="D73">
        <v>1773052293.29017</v>
      </c>
      <c r="E73">
        <v>82.027691764312294</v>
      </c>
      <c r="F73">
        <v>1773052136</v>
      </c>
      <c r="G73">
        <v>1773052200</v>
      </c>
      <c r="H73">
        <v>64.150000000000006</v>
      </c>
      <c r="I73">
        <v>17.877691764312299</v>
      </c>
      <c r="J73">
        <v>17.877691764312299</v>
      </c>
      <c r="K73">
        <v>24.460218995846699</v>
      </c>
      <c r="L73">
        <v>93.290170431137</v>
      </c>
      <c r="M73">
        <v>93.290170431137</v>
      </c>
      <c r="N73" s="1">
        <v>5.2615578930433497E-6</v>
      </c>
      <c r="O73" s="2">
        <v>46090.437630347224</v>
      </c>
      <c r="P73" s="2">
        <v>46090.438579745372</v>
      </c>
      <c r="Q73" s="3" t="s">
        <v>90</v>
      </c>
      <c r="R73" s="3" t="s">
        <v>99</v>
      </c>
      <c r="T73">
        <f t="shared" si="1"/>
        <v>-17.877691764312289</v>
      </c>
    </row>
    <row r="74" spans="1:20" x14ac:dyDescent="0.3">
      <c r="A74">
        <v>73</v>
      </c>
      <c r="B74">
        <v>2</v>
      </c>
      <c r="C74">
        <v>1773052228.7311299</v>
      </c>
      <c r="D74">
        <v>1773052320.86658</v>
      </c>
      <c r="E74">
        <v>92.135446656910105</v>
      </c>
      <c r="F74">
        <v>1773052158</v>
      </c>
      <c r="G74">
        <v>1773052277</v>
      </c>
      <c r="H74">
        <v>118.616</v>
      </c>
      <c r="I74">
        <v>-26.480553343089799</v>
      </c>
      <c r="J74">
        <v>26.480553343089799</v>
      </c>
      <c r="K74">
        <v>25.129652738468199</v>
      </c>
      <c r="L74">
        <v>43.866584062576202</v>
      </c>
      <c r="M74">
        <v>43.866584062576202</v>
      </c>
      <c r="N74" s="1">
        <v>2.4740716384377E-6</v>
      </c>
      <c r="O74" s="2">
        <v>46090.437832534721</v>
      </c>
      <c r="P74" s="2">
        <v>46090.43889892361</v>
      </c>
      <c r="Q74" s="3" t="s">
        <v>95</v>
      </c>
      <c r="R74" s="3" t="s">
        <v>100</v>
      </c>
      <c r="T74">
        <f t="shared" si="1"/>
        <v>26.480553343089895</v>
      </c>
    </row>
    <row r="75" spans="1:20" x14ac:dyDescent="0.3">
      <c r="A75">
        <v>74</v>
      </c>
      <c r="B75">
        <v>4</v>
      </c>
      <c r="C75">
        <v>1773052260.33184</v>
      </c>
      <c r="D75">
        <v>1773052317.7423899</v>
      </c>
      <c r="E75">
        <v>57.410545751311801</v>
      </c>
      <c r="F75">
        <v>1773052169</v>
      </c>
      <c r="G75">
        <v>1773052204</v>
      </c>
      <c r="H75">
        <v>34.582000000000001</v>
      </c>
      <c r="I75">
        <v>22.8285457513118</v>
      </c>
      <c r="J75">
        <v>22.8285457513118</v>
      </c>
      <c r="K75">
        <v>49.6312947203905</v>
      </c>
      <c r="L75">
        <v>113.742392539978</v>
      </c>
      <c r="M75">
        <v>113.742392539978</v>
      </c>
      <c r="N75" s="1">
        <v>6.4150614761964297E-6</v>
      </c>
      <c r="O75" s="2">
        <v>46090.43819828704</v>
      </c>
      <c r="P75" s="2">
        <v>46090.438862754629</v>
      </c>
      <c r="Q75" s="3" t="s">
        <v>97</v>
      </c>
      <c r="R75" s="3" t="s">
        <v>101</v>
      </c>
      <c r="T75">
        <f t="shared" si="1"/>
        <v>-22.8285457513118</v>
      </c>
    </row>
    <row r="76" spans="1:20" x14ac:dyDescent="0.3">
      <c r="A76">
        <v>75</v>
      </c>
      <c r="B76">
        <v>3</v>
      </c>
      <c r="C76">
        <v>1773052264.4800799</v>
      </c>
      <c r="D76">
        <v>1773052315.99652</v>
      </c>
      <c r="E76">
        <v>51.516438196524803</v>
      </c>
      <c r="F76">
        <v>1773052184</v>
      </c>
      <c r="G76">
        <v>1773052240</v>
      </c>
      <c r="H76">
        <v>55.661999999999999</v>
      </c>
      <c r="I76">
        <v>-4.1455618034751698</v>
      </c>
      <c r="J76">
        <v>4.1455618034751698</v>
      </c>
      <c r="K76">
        <v>7.7358130482808098</v>
      </c>
      <c r="L76">
        <v>75.996524095535193</v>
      </c>
      <c r="M76">
        <v>75.996524095535193</v>
      </c>
      <c r="N76" s="1">
        <v>4.28619759488049E-6</v>
      </c>
      <c r="O76" s="2">
        <v>46090.438246296297</v>
      </c>
      <c r="P76" s="2">
        <v>46090.438842557873</v>
      </c>
      <c r="Q76" s="3" t="s">
        <v>98</v>
      </c>
      <c r="R76" s="3" t="s">
        <v>102</v>
      </c>
      <c r="T76">
        <f t="shared" si="1"/>
        <v>4.1455618034751964</v>
      </c>
    </row>
    <row r="77" spans="1:20" x14ac:dyDescent="0.3">
      <c r="A77">
        <v>76</v>
      </c>
      <c r="B77">
        <v>1</v>
      </c>
      <c r="C77">
        <v>1773052293.29017</v>
      </c>
      <c r="D77">
        <v>1773052349.84952</v>
      </c>
      <c r="E77">
        <v>56.559358930359501</v>
      </c>
      <c r="F77">
        <v>1773052200</v>
      </c>
      <c r="G77">
        <v>1773052282</v>
      </c>
      <c r="H77">
        <v>82.242000000000004</v>
      </c>
      <c r="I77">
        <v>-25.6826410696404</v>
      </c>
      <c r="J77">
        <v>25.6826410696404</v>
      </c>
      <c r="K77">
        <v>37.006325107416401</v>
      </c>
      <c r="L77">
        <v>67.849529266357393</v>
      </c>
      <c r="M77">
        <v>67.849529266357393</v>
      </c>
      <c r="N77" s="1">
        <v>3.8267076869059698E-6</v>
      </c>
      <c r="O77" s="2">
        <v>46090.438579745372</v>
      </c>
      <c r="P77" s="2">
        <v>46090.439234375001</v>
      </c>
      <c r="Q77" s="3" t="s">
        <v>99</v>
      </c>
      <c r="R77" s="3" t="s">
        <v>103</v>
      </c>
      <c r="T77">
        <f t="shared" si="1"/>
        <v>25.682641069640503</v>
      </c>
    </row>
    <row r="78" spans="1:20" x14ac:dyDescent="0.3">
      <c r="A78">
        <v>77</v>
      </c>
      <c r="B78">
        <v>3</v>
      </c>
      <c r="C78">
        <v>1773052315.99652</v>
      </c>
      <c r="D78">
        <v>1773052415.69628</v>
      </c>
      <c r="E78">
        <v>99.699760163799695</v>
      </c>
      <c r="F78">
        <v>1773052204</v>
      </c>
      <c r="G78">
        <v>1773052325</v>
      </c>
      <c r="H78">
        <v>121.71</v>
      </c>
      <c r="I78">
        <v>-22.010239836200199</v>
      </c>
      <c r="J78">
        <v>22.010239836200199</v>
      </c>
      <c r="K78">
        <v>19.881905675627799</v>
      </c>
      <c r="L78">
        <v>90.696284294128404</v>
      </c>
      <c r="M78">
        <v>90.696284294128404</v>
      </c>
      <c r="N78" s="1">
        <v>5.1152625726627501E-6</v>
      </c>
      <c r="O78" s="2">
        <v>46090.438842557873</v>
      </c>
      <c r="P78" s="2">
        <v>46090.43999648148</v>
      </c>
      <c r="Q78" s="3" t="s">
        <v>101</v>
      </c>
      <c r="R78" s="3" t="s">
        <v>104</v>
      </c>
      <c r="T78">
        <f t="shared" si="1"/>
        <v>22.010239836200299</v>
      </c>
    </row>
    <row r="79" spans="1:20" x14ac:dyDescent="0.3">
      <c r="A79">
        <v>78</v>
      </c>
      <c r="B79">
        <v>4</v>
      </c>
      <c r="C79">
        <v>1773052317.7423899</v>
      </c>
      <c r="D79">
        <v>1773052391.0043499</v>
      </c>
      <c r="E79">
        <v>73.261962471640103</v>
      </c>
      <c r="F79">
        <v>1773052239</v>
      </c>
      <c r="G79">
        <v>1773052290</v>
      </c>
      <c r="H79">
        <v>50.738</v>
      </c>
      <c r="I79">
        <v>22.5239624716401</v>
      </c>
      <c r="J79">
        <v>22.5239624716401</v>
      </c>
      <c r="K79">
        <v>36.328982723348098</v>
      </c>
      <c r="L79">
        <v>101.004354953765</v>
      </c>
      <c r="M79">
        <v>101.004354953765</v>
      </c>
      <c r="N79" s="1">
        <v>5.6966369602579597E-6</v>
      </c>
      <c r="O79" s="2">
        <v>46090.438862754629</v>
      </c>
      <c r="P79" s="2">
        <v>46090.439710694445</v>
      </c>
      <c r="Q79" s="3" t="s">
        <v>105</v>
      </c>
      <c r="R79" s="3" t="s">
        <v>106</v>
      </c>
      <c r="T79">
        <f t="shared" si="1"/>
        <v>-22.523962471640104</v>
      </c>
    </row>
    <row r="80" spans="1:20" x14ac:dyDescent="0.3">
      <c r="A80">
        <v>79</v>
      </c>
      <c r="B80">
        <v>2</v>
      </c>
      <c r="C80">
        <v>1773052320.86658</v>
      </c>
      <c r="D80">
        <v>1773052369.47137</v>
      </c>
      <c r="E80">
        <v>48.604786191693798</v>
      </c>
      <c r="F80">
        <v>1773052277</v>
      </c>
      <c r="G80">
        <v>1773052318</v>
      </c>
      <c r="H80">
        <v>40.99</v>
      </c>
      <c r="I80">
        <v>7.6147861916938302</v>
      </c>
      <c r="J80">
        <v>7.6147861916938302</v>
      </c>
      <c r="K80">
        <v>16.9982797333798</v>
      </c>
      <c r="L80">
        <v>51.471370220184298</v>
      </c>
      <c r="M80">
        <v>51.471370220184298</v>
      </c>
      <c r="N80" s="1">
        <v>2.9029808624678301E-6</v>
      </c>
      <c r="O80" s="2">
        <v>46090.43889892361</v>
      </c>
      <c r="P80" s="2">
        <v>46090.439461469905</v>
      </c>
      <c r="Q80" s="3" t="s">
        <v>100</v>
      </c>
      <c r="R80" s="3" t="s">
        <v>107</v>
      </c>
      <c r="T80">
        <f t="shared" si="1"/>
        <v>-7.6147861916937956</v>
      </c>
    </row>
    <row r="81" spans="1:20" x14ac:dyDescent="0.3">
      <c r="A81">
        <v>80</v>
      </c>
      <c r="B81">
        <v>1</v>
      </c>
      <c r="C81">
        <v>1773052349.84952</v>
      </c>
      <c r="D81">
        <v>1773052405.31616</v>
      </c>
      <c r="E81">
        <v>55.466638597161698</v>
      </c>
      <c r="F81">
        <v>1773052282</v>
      </c>
      <c r="G81">
        <v>1773052336</v>
      </c>
      <c r="H81">
        <v>54.497999999999998</v>
      </c>
      <c r="I81">
        <v>0.96863859716175604</v>
      </c>
      <c r="J81">
        <v>0.96863859716175604</v>
      </c>
      <c r="K81">
        <v>1.76172742350422</v>
      </c>
      <c r="L81">
        <v>69.316167831420898</v>
      </c>
      <c r="M81">
        <v>69.316167831420898</v>
      </c>
      <c r="N81" s="1">
        <v>3.9094258567045899E-6</v>
      </c>
      <c r="O81" s="2">
        <v>46090.439234375001</v>
      </c>
      <c r="P81" s="2">
        <v>46090.439876342592</v>
      </c>
      <c r="Q81" s="3" t="s">
        <v>103</v>
      </c>
      <c r="R81" s="3" t="s">
        <v>108</v>
      </c>
      <c r="T81">
        <f t="shared" si="1"/>
        <v>-0.96863859716169998</v>
      </c>
    </row>
    <row r="82" spans="1:20" x14ac:dyDescent="0.3">
      <c r="A82">
        <v>81</v>
      </c>
      <c r="B82">
        <v>2</v>
      </c>
      <c r="C82">
        <v>1773052369.47137</v>
      </c>
      <c r="D82">
        <v>1773052428.1118901</v>
      </c>
      <c r="E82">
        <v>58.640529416891901</v>
      </c>
      <c r="F82">
        <v>1773052290</v>
      </c>
      <c r="G82">
        <v>1773052362</v>
      </c>
      <c r="H82">
        <v>71.611000000000004</v>
      </c>
      <c r="I82">
        <v>-12.970470583108</v>
      </c>
      <c r="J82">
        <v>12.970470583108</v>
      </c>
      <c r="K82">
        <v>19.916035752016199</v>
      </c>
      <c r="L82">
        <v>66.111899614334106</v>
      </c>
      <c r="M82">
        <v>66.111899614334106</v>
      </c>
      <c r="N82" s="1">
        <v>3.72870535572909E-6</v>
      </c>
      <c r="O82" s="2">
        <v>46090.439461469905</v>
      </c>
      <c r="P82" s="2">
        <v>46090.440140185186</v>
      </c>
      <c r="Q82" s="3" t="s">
        <v>106</v>
      </c>
      <c r="R82" s="3" t="s">
        <v>109</v>
      </c>
      <c r="T82">
        <f t="shared" si="1"/>
        <v>12.970470583108103</v>
      </c>
    </row>
    <row r="83" spans="1:20" x14ac:dyDescent="0.3">
      <c r="A83">
        <v>82</v>
      </c>
      <c r="B83">
        <v>4</v>
      </c>
      <c r="C83">
        <v>1773052391.0043499</v>
      </c>
      <c r="D83">
        <v>1773052440.22298</v>
      </c>
      <c r="E83">
        <v>49.218626118343501</v>
      </c>
      <c r="F83">
        <v>1773052318</v>
      </c>
      <c r="G83">
        <v>1773052375</v>
      </c>
      <c r="H83">
        <v>57.381999999999998</v>
      </c>
      <c r="I83">
        <v>-8.1633738816564794</v>
      </c>
      <c r="J83">
        <v>8.1633738816564794</v>
      </c>
      <c r="K83">
        <v>15.315808506779</v>
      </c>
      <c r="L83">
        <v>65.222980976104694</v>
      </c>
      <c r="M83">
        <v>65.222980976104694</v>
      </c>
      <c r="N83" s="1">
        <v>3.6785703962336701E-6</v>
      </c>
      <c r="O83" s="2">
        <v>46090.439710694445</v>
      </c>
      <c r="P83" s="2">
        <v>46090.440280358795</v>
      </c>
      <c r="Q83" s="3" t="s">
        <v>107</v>
      </c>
      <c r="R83" s="3" t="s">
        <v>110</v>
      </c>
      <c r="T83">
        <f t="shared" si="1"/>
        <v>8.1633738816564971</v>
      </c>
    </row>
    <row r="84" spans="1:20" x14ac:dyDescent="0.3">
      <c r="A84">
        <v>83</v>
      </c>
      <c r="B84">
        <v>1</v>
      </c>
      <c r="C84">
        <v>1773052405.31616</v>
      </c>
      <c r="D84">
        <v>1773052465.67331</v>
      </c>
      <c r="E84">
        <v>60.357148762118896</v>
      </c>
      <c r="F84">
        <v>1773052325</v>
      </c>
      <c r="G84">
        <v>1773052382</v>
      </c>
      <c r="H84">
        <v>56.749000000000002</v>
      </c>
      <c r="I84">
        <v>3.6081487621189199</v>
      </c>
      <c r="J84">
        <v>3.6081487621189199</v>
      </c>
      <c r="K84">
        <v>6.1621849924349501</v>
      </c>
      <c r="L84">
        <v>83.673316478729205</v>
      </c>
      <c r="M84">
        <v>83.673316478729205</v>
      </c>
      <c r="N84" s="1">
        <v>4.7191676542575601E-6</v>
      </c>
      <c r="O84" s="2">
        <v>46090.439876342592</v>
      </c>
      <c r="P84" s="2">
        <v>46090.440574918983</v>
      </c>
      <c r="Q84" s="3" t="s">
        <v>104</v>
      </c>
      <c r="R84" s="3" t="s">
        <v>111</v>
      </c>
      <c r="T84">
        <f t="shared" si="1"/>
        <v>-3.6081487621188941</v>
      </c>
    </row>
    <row r="85" spans="1:20" x14ac:dyDescent="0.3">
      <c r="A85">
        <v>84</v>
      </c>
      <c r="B85">
        <v>3</v>
      </c>
      <c r="C85">
        <v>1773052415.69628</v>
      </c>
      <c r="D85">
        <v>1773052468.6921101</v>
      </c>
      <c r="E85">
        <v>52.995831240247597</v>
      </c>
      <c r="F85">
        <v>1773052336</v>
      </c>
      <c r="G85">
        <v>1773052393</v>
      </c>
      <c r="H85">
        <v>56.865000000000002</v>
      </c>
      <c r="I85">
        <v>-3.8691687597523501</v>
      </c>
      <c r="J85">
        <v>3.8691687597523501</v>
      </c>
      <c r="K85">
        <v>7.0437638529989197</v>
      </c>
      <c r="L85">
        <v>75.692115545272799</v>
      </c>
      <c r="M85">
        <v>75.692115545272799</v>
      </c>
      <c r="N85" s="1">
        <v>4.2690286101214903E-6</v>
      </c>
      <c r="O85" s="2">
        <v>46090.43999648148</v>
      </c>
      <c r="P85" s="2">
        <v>46090.440609861114</v>
      </c>
      <c r="Q85" s="3" t="s">
        <v>108</v>
      </c>
      <c r="R85" s="3" t="s">
        <v>112</v>
      </c>
      <c r="T85">
        <f t="shared" si="1"/>
        <v>3.8691687597524052</v>
      </c>
    </row>
    <row r="86" spans="1:20" x14ac:dyDescent="0.3">
      <c r="A86">
        <v>85</v>
      </c>
      <c r="B86">
        <v>2</v>
      </c>
      <c r="C86">
        <v>1773052428.1118901</v>
      </c>
      <c r="D86">
        <v>1773052493.4121101</v>
      </c>
      <c r="E86">
        <v>65.300213663283103</v>
      </c>
      <c r="F86">
        <v>1773052361</v>
      </c>
      <c r="G86">
        <v>1773052398</v>
      </c>
      <c r="H86">
        <v>36.167000000000002</v>
      </c>
      <c r="I86">
        <v>29.133213663283101</v>
      </c>
      <c r="J86">
        <v>29.133213663283101</v>
      </c>
      <c r="K86">
        <v>57.423896077330198</v>
      </c>
      <c r="L86">
        <v>95.412113189697195</v>
      </c>
      <c r="M86">
        <v>95.412113189697195</v>
      </c>
      <c r="N86" s="1">
        <v>5.3812346848940901E-6</v>
      </c>
      <c r="O86" s="2">
        <v>46090.440140185186</v>
      </c>
      <c r="P86" s="2">
        <v>46090.44089597222</v>
      </c>
      <c r="Q86" s="3" t="s">
        <v>113</v>
      </c>
      <c r="R86" s="3" t="s">
        <v>114</v>
      </c>
      <c r="T86">
        <f t="shared" si="1"/>
        <v>-29.133213663283101</v>
      </c>
    </row>
    <row r="87" spans="1:20" x14ac:dyDescent="0.3">
      <c r="A87">
        <v>86</v>
      </c>
      <c r="B87">
        <v>4</v>
      </c>
      <c r="C87">
        <v>1773052440.22298</v>
      </c>
      <c r="D87">
        <v>1773052550.3113699</v>
      </c>
      <c r="E87">
        <v>110.088388924461</v>
      </c>
      <c r="F87">
        <v>1773052375</v>
      </c>
      <c r="G87">
        <v>1773052491</v>
      </c>
      <c r="H87">
        <v>115.643</v>
      </c>
      <c r="I87">
        <v>-5.5546110755381299</v>
      </c>
      <c r="J87">
        <v>5.5546110755381299</v>
      </c>
      <c r="K87">
        <v>4.9214343667525204</v>
      </c>
      <c r="L87">
        <v>59.311369895935002</v>
      </c>
      <c r="M87">
        <v>59.311369895935002</v>
      </c>
      <c r="N87" s="1">
        <v>3.34515583745942E-6</v>
      </c>
      <c r="O87" s="2">
        <v>46090.440280358795</v>
      </c>
      <c r="P87" s="2">
        <v>46090.44155452546</v>
      </c>
      <c r="Q87" s="3" t="s">
        <v>110</v>
      </c>
      <c r="R87" s="3" t="s">
        <v>115</v>
      </c>
      <c r="T87">
        <f t="shared" si="1"/>
        <v>5.5546110755390004</v>
      </c>
    </row>
    <row r="88" spans="1:20" x14ac:dyDescent="0.3">
      <c r="A88">
        <v>87</v>
      </c>
      <c r="B88">
        <v>1</v>
      </c>
      <c r="C88">
        <v>1773052465.67331</v>
      </c>
      <c r="D88">
        <v>1773052515.1093199</v>
      </c>
      <c r="E88">
        <v>49.4360123129998</v>
      </c>
      <c r="F88">
        <v>1773052381</v>
      </c>
      <c r="G88">
        <v>1773052452</v>
      </c>
      <c r="H88">
        <v>70.22</v>
      </c>
      <c r="I88">
        <v>-20.783987687000099</v>
      </c>
      <c r="J88">
        <v>20.783987687000099</v>
      </c>
      <c r="K88">
        <v>34.739562660057203</v>
      </c>
      <c r="L88">
        <v>63.109328746795597</v>
      </c>
      <c r="M88">
        <v>63.109328746795597</v>
      </c>
      <c r="N88" s="1">
        <v>3.5593604437626299E-6</v>
      </c>
      <c r="O88" s="2">
        <v>46090.440574918983</v>
      </c>
      <c r="P88" s="2">
        <v>46090.441147094905</v>
      </c>
      <c r="Q88" s="3" t="s">
        <v>116</v>
      </c>
      <c r="R88" s="3" t="s">
        <v>117</v>
      </c>
      <c r="T88">
        <f t="shared" si="1"/>
        <v>20.783987687000199</v>
      </c>
    </row>
    <row r="89" spans="1:20" x14ac:dyDescent="0.3">
      <c r="A89">
        <v>88</v>
      </c>
      <c r="B89">
        <v>3</v>
      </c>
      <c r="C89">
        <v>1773052468.6921101</v>
      </c>
      <c r="D89">
        <v>1773052525.9058199</v>
      </c>
      <c r="E89">
        <v>57.213711994160697</v>
      </c>
      <c r="F89">
        <v>1773052393</v>
      </c>
      <c r="G89">
        <v>1773052430</v>
      </c>
      <c r="H89">
        <v>36.491</v>
      </c>
      <c r="I89">
        <v>20.722711994160701</v>
      </c>
      <c r="J89">
        <v>20.722711994160701</v>
      </c>
      <c r="K89">
        <v>44.229818443819802</v>
      </c>
      <c r="L89">
        <v>95.905827522277804</v>
      </c>
      <c r="M89">
        <v>95.905827522277804</v>
      </c>
      <c r="N89" s="1">
        <v>5.4090800308971301E-6</v>
      </c>
      <c r="O89" s="2">
        <v>46090.440609861114</v>
      </c>
      <c r="P89" s="2">
        <v>46090.441272060183</v>
      </c>
      <c r="Q89" s="3" t="s">
        <v>112</v>
      </c>
      <c r="R89" s="3" t="s">
        <v>118</v>
      </c>
      <c r="T89">
        <f t="shared" si="1"/>
        <v>-20.722711994160697</v>
      </c>
    </row>
    <row r="90" spans="1:20" x14ac:dyDescent="0.3">
      <c r="A90">
        <v>89</v>
      </c>
      <c r="B90">
        <v>2</v>
      </c>
      <c r="C90">
        <v>1773052493.4121101</v>
      </c>
      <c r="D90">
        <v>1773052533.0985301</v>
      </c>
      <c r="E90">
        <v>39.6864242726284</v>
      </c>
      <c r="F90">
        <v>1773052398</v>
      </c>
      <c r="G90">
        <v>1773052443</v>
      </c>
      <c r="H90">
        <v>45.317</v>
      </c>
      <c r="I90">
        <v>-5.6305757273715296</v>
      </c>
      <c r="J90">
        <v>5.6305757273715296</v>
      </c>
      <c r="K90">
        <v>13.247879777908199</v>
      </c>
      <c r="L90">
        <v>90.098537445068303</v>
      </c>
      <c r="M90">
        <v>90.098537445068303</v>
      </c>
      <c r="N90" s="1">
        <v>5.0815493648580997E-6</v>
      </c>
      <c r="O90" s="2">
        <v>46090.44089597222</v>
      </c>
      <c r="P90" s="2">
        <v>46090.441355312498</v>
      </c>
      <c r="Q90" s="3" t="s">
        <v>114</v>
      </c>
      <c r="R90" s="3" t="s">
        <v>119</v>
      </c>
      <c r="T90">
        <f t="shared" si="1"/>
        <v>5.6305757273715997</v>
      </c>
    </row>
    <row r="91" spans="1:20" x14ac:dyDescent="0.3">
      <c r="A91">
        <v>90</v>
      </c>
      <c r="B91">
        <v>1</v>
      </c>
      <c r="C91">
        <v>1773052515.1093199</v>
      </c>
      <c r="D91">
        <v>1773052549.7635</v>
      </c>
      <c r="E91">
        <v>34.654179624670398</v>
      </c>
      <c r="F91">
        <v>1773052430</v>
      </c>
      <c r="G91">
        <v>1773052466</v>
      </c>
      <c r="H91">
        <v>36.069000000000003</v>
      </c>
      <c r="I91">
        <v>-1.41482037532958</v>
      </c>
      <c r="J91">
        <v>1.41482037532958</v>
      </c>
      <c r="K91">
        <v>4.0010089558701001</v>
      </c>
      <c r="L91">
        <v>83.763508319854694</v>
      </c>
      <c r="M91">
        <v>83.763508319854694</v>
      </c>
      <c r="N91" s="1">
        <v>4.7242542421897003E-6</v>
      </c>
      <c r="O91" s="2">
        <v>46090.441147094905</v>
      </c>
      <c r="P91" s="2">
        <v>46090.441548194445</v>
      </c>
      <c r="Q91" s="3" t="s">
        <v>118</v>
      </c>
      <c r="R91" s="3" t="s">
        <v>120</v>
      </c>
      <c r="T91">
        <f t="shared" si="1"/>
        <v>1.4148203753296045</v>
      </c>
    </row>
    <row r="92" spans="1:20" x14ac:dyDescent="0.3">
      <c r="A92">
        <v>91</v>
      </c>
      <c r="B92">
        <v>3</v>
      </c>
      <c r="C92">
        <v>1773052525.9058199</v>
      </c>
      <c r="D92">
        <v>1773052647.9804499</v>
      </c>
      <c r="E92">
        <v>122.07462235497</v>
      </c>
      <c r="F92">
        <v>1773052443</v>
      </c>
      <c r="G92">
        <v>1773052568</v>
      </c>
      <c r="H92">
        <v>125.39</v>
      </c>
      <c r="I92">
        <v>-3.3153776450299901</v>
      </c>
      <c r="J92">
        <v>3.3153776450299901</v>
      </c>
      <c r="K92">
        <v>2.6794760507417701</v>
      </c>
      <c r="L92">
        <v>79.980449914932194</v>
      </c>
      <c r="M92">
        <v>79.980449914932194</v>
      </c>
      <c r="N92" s="1">
        <v>4.5108898379270798E-6</v>
      </c>
      <c r="O92" s="2">
        <v>46090.441272060183</v>
      </c>
      <c r="P92" s="2">
        <v>46090.442684953705</v>
      </c>
      <c r="Q92" s="3" t="s">
        <v>119</v>
      </c>
      <c r="R92" s="3" t="s">
        <v>121</v>
      </c>
      <c r="T92">
        <f t="shared" si="1"/>
        <v>3.3153776450299972</v>
      </c>
    </row>
    <row r="93" spans="1:20" x14ac:dyDescent="0.3">
      <c r="A93">
        <v>92</v>
      </c>
      <c r="B93">
        <v>2</v>
      </c>
      <c r="C93">
        <v>1773052533.0985301</v>
      </c>
      <c r="D93">
        <v>1773052593.8105299</v>
      </c>
      <c r="E93">
        <v>60.712000809818399</v>
      </c>
      <c r="F93">
        <v>1773052452</v>
      </c>
      <c r="G93">
        <v>1773052489</v>
      </c>
      <c r="H93">
        <v>37.015999999999998</v>
      </c>
      <c r="I93">
        <v>23.696000809818401</v>
      </c>
      <c r="J93">
        <v>23.696000809818401</v>
      </c>
      <c r="K93">
        <v>48.4937799063987</v>
      </c>
      <c r="L93">
        <v>104.810538291931</v>
      </c>
      <c r="M93">
        <v>104.810538291931</v>
      </c>
      <c r="N93" s="1">
        <v>5.9113047044201696E-6</v>
      </c>
      <c r="O93" s="2">
        <v>46090.441355312498</v>
      </c>
      <c r="P93" s="2">
        <v>46090.442057997687</v>
      </c>
      <c r="Q93" s="3" t="s">
        <v>117</v>
      </c>
      <c r="R93" s="3" t="s">
        <v>122</v>
      </c>
      <c r="T93">
        <f t="shared" si="1"/>
        <v>-23.696000809818401</v>
      </c>
    </row>
    <row r="94" spans="1:20" x14ac:dyDescent="0.3">
      <c r="A94">
        <v>93</v>
      </c>
      <c r="B94">
        <v>1</v>
      </c>
      <c r="C94">
        <v>1773052549.7635</v>
      </c>
      <c r="D94">
        <v>1773052586.37643</v>
      </c>
      <c r="E94">
        <v>36.612930256352698</v>
      </c>
      <c r="F94">
        <v>1773052466</v>
      </c>
      <c r="G94">
        <v>1773052514</v>
      </c>
      <c r="H94">
        <v>48.18</v>
      </c>
      <c r="I94">
        <v>-11.567069743647201</v>
      </c>
      <c r="J94">
        <v>11.567069743647201</v>
      </c>
      <c r="K94">
        <v>27.283099448684698</v>
      </c>
      <c r="L94">
        <v>72.376438617706299</v>
      </c>
      <c r="M94">
        <v>72.376438617706299</v>
      </c>
      <c r="N94" s="1">
        <v>4.0820244504328504E-6</v>
      </c>
      <c r="O94" s="2">
        <v>46090.441548194445</v>
      </c>
      <c r="P94" s="2">
        <v>46090.441971944441</v>
      </c>
      <c r="Q94" s="3" t="s">
        <v>120</v>
      </c>
      <c r="R94" s="3" t="s">
        <v>123</v>
      </c>
      <c r="T94">
        <f t="shared" si="1"/>
        <v>11.567069743647302</v>
      </c>
    </row>
    <row r="95" spans="1:20" x14ac:dyDescent="0.3">
      <c r="A95">
        <v>94</v>
      </c>
      <c r="B95">
        <v>4</v>
      </c>
      <c r="C95">
        <v>1773052550.3113699</v>
      </c>
      <c r="D95">
        <v>1773052610.6291299</v>
      </c>
      <c r="E95">
        <v>60.317762414402097</v>
      </c>
      <c r="F95">
        <v>1773052489</v>
      </c>
      <c r="G95">
        <v>1773052526</v>
      </c>
      <c r="H95">
        <v>37.222000000000001</v>
      </c>
      <c r="I95">
        <v>23.095762414402099</v>
      </c>
      <c r="J95">
        <v>23.095762414402099</v>
      </c>
      <c r="K95">
        <v>47.356609945959804</v>
      </c>
      <c r="L95">
        <v>84.629132270812903</v>
      </c>
      <c r="M95">
        <v>84.629132270812903</v>
      </c>
      <c r="N95" s="1">
        <v>4.7730751915189902E-6</v>
      </c>
      <c r="O95" s="2">
        <v>46090.44155452546</v>
      </c>
      <c r="P95" s="2">
        <v>46090.442252650464</v>
      </c>
      <c r="Q95" s="3" t="s">
        <v>122</v>
      </c>
      <c r="R95" s="3" t="s">
        <v>124</v>
      </c>
      <c r="T95">
        <f t="shared" si="1"/>
        <v>-23.095762414402095</v>
      </c>
    </row>
    <row r="96" spans="1:20" x14ac:dyDescent="0.3">
      <c r="A96">
        <v>95</v>
      </c>
      <c r="B96">
        <v>1</v>
      </c>
      <c r="C96">
        <v>1773052586.37643</v>
      </c>
      <c r="D96">
        <v>1773052626.30479</v>
      </c>
      <c r="E96">
        <v>39.928354897185201</v>
      </c>
      <c r="F96">
        <v>1773052490</v>
      </c>
      <c r="G96">
        <v>1773052534</v>
      </c>
      <c r="H96">
        <v>43.173000000000002</v>
      </c>
      <c r="I96">
        <v>-3.2446451028147498</v>
      </c>
      <c r="J96">
        <v>3.2446451028147498</v>
      </c>
      <c r="K96">
        <v>7.80888616516323</v>
      </c>
      <c r="L96">
        <v>92.3047935962677</v>
      </c>
      <c r="M96">
        <v>92.3047935962677</v>
      </c>
      <c r="N96" s="1">
        <v>5.2059817418575297E-6</v>
      </c>
      <c r="O96" s="2">
        <v>46090.441971944441</v>
      </c>
      <c r="P96" s="2">
        <v>46090.442434085649</v>
      </c>
      <c r="Q96" s="3" t="s">
        <v>125</v>
      </c>
      <c r="R96" s="3" t="s">
        <v>126</v>
      </c>
      <c r="T96">
        <f t="shared" si="1"/>
        <v>3.2446451028148005</v>
      </c>
    </row>
    <row r="97" spans="1:20" x14ac:dyDescent="0.3">
      <c r="A97">
        <v>96</v>
      </c>
      <c r="B97">
        <v>2</v>
      </c>
      <c r="C97">
        <v>1773052593.8105299</v>
      </c>
      <c r="D97">
        <v>1773052674.6898701</v>
      </c>
      <c r="E97">
        <v>80.879338887193398</v>
      </c>
      <c r="F97">
        <v>1773052514</v>
      </c>
      <c r="G97">
        <v>1773052605</v>
      </c>
      <c r="H97">
        <v>91.207999999999998</v>
      </c>
      <c r="I97">
        <v>-10.3286611128065</v>
      </c>
      <c r="J97">
        <v>10.3286611128065</v>
      </c>
      <c r="K97">
        <v>12.0039756319054</v>
      </c>
      <c r="L97">
        <v>69.689877271652193</v>
      </c>
      <c r="M97">
        <v>69.689877271652193</v>
      </c>
      <c r="N97" s="1">
        <v>3.9305024400035197E-6</v>
      </c>
      <c r="O97" s="2">
        <v>46090.442057997687</v>
      </c>
      <c r="P97" s="2">
        <v>46090.442994097219</v>
      </c>
      <c r="Q97" s="3" t="s">
        <v>123</v>
      </c>
      <c r="R97" s="3" t="s">
        <v>127</v>
      </c>
      <c r="T97">
        <f t="shared" si="1"/>
        <v>10.3286611128066</v>
      </c>
    </row>
    <row r="98" spans="1:20" x14ac:dyDescent="0.3">
      <c r="A98">
        <v>97</v>
      </c>
      <c r="B98">
        <v>4</v>
      </c>
      <c r="C98">
        <v>1773052610.6291299</v>
      </c>
      <c r="D98">
        <v>1773052655.6803999</v>
      </c>
      <c r="E98">
        <v>45.051275412167001</v>
      </c>
      <c r="F98">
        <v>1773052526</v>
      </c>
      <c r="G98">
        <v>1773052581</v>
      </c>
      <c r="H98">
        <v>55.259</v>
      </c>
      <c r="I98">
        <v>-10.207724587832899</v>
      </c>
      <c r="J98">
        <v>10.207724587832899</v>
      </c>
      <c r="K98">
        <v>20.3523009898841</v>
      </c>
      <c r="L98">
        <v>74.680407762527395</v>
      </c>
      <c r="M98">
        <v>74.680407762527395</v>
      </c>
      <c r="N98" s="1">
        <v>4.2119679354151096E-6</v>
      </c>
      <c r="O98" s="2">
        <v>46090.442252650464</v>
      </c>
      <c r="P98" s="2">
        <v>46090.442774074072</v>
      </c>
      <c r="Q98" s="3" t="s">
        <v>124</v>
      </c>
      <c r="R98" s="3" t="s">
        <v>128</v>
      </c>
      <c r="T98">
        <f t="shared" si="1"/>
        <v>10.207724587832999</v>
      </c>
    </row>
    <row r="99" spans="1:20" x14ac:dyDescent="0.3">
      <c r="A99">
        <v>98</v>
      </c>
      <c r="B99">
        <v>1</v>
      </c>
      <c r="C99">
        <v>1773052626.30479</v>
      </c>
      <c r="D99">
        <v>1773052664.7330201</v>
      </c>
      <c r="E99">
        <v>38.428228382629001</v>
      </c>
      <c r="F99">
        <v>1773052533</v>
      </c>
      <c r="G99">
        <v>1773052577</v>
      </c>
      <c r="H99">
        <v>43.234000000000002</v>
      </c>
      <c r="I99">
        <v>-4.8057716173709197</v>
      </c>
      <c r="J99">
        <v>4.8057716173709197</v>
      </c>
      <c r="K99">
        <v>11.769876263609699</v>
      </c>
      <c r="L99">
        <v>87.733021974563599</v>
      </c>
      <c r="M99">
        <v>87.733021974563599</v>
      </c>
      <c r="N99" s="1">
        <v>4.9481341355614896E-6</v>
      </c>
      <c r="O99" s="2">
        <v>46090.442434085649</v>
      </c>
      <c r="P99" s="2">
        <v>46090.44287885417</v>
      </c>
      <c r="Q99" s="3" t="s">
        <v>129</v>
      </c>
      <c r="R99" s="3" t="s">
        <v>130</v>
      </c>
      <c r="T99">
        <f t="shared" si="1"/>
        <v>4.8057716173710006</v>
      </c>
    </row>
    <row r="100" spans="1:20" x14ac:dyDescent="0.3">
      <c r="A100">
        <v>99</v>
      </c>
      <c r="B100">
        <v>3</v>
      </c>
      <c r="C100">
        <v>1773052647.9804499</v>
      </c>
      <c r="D100">
        <v>1773052685.7546301</v>
      </c>
      <c r="E100">
        <v>37.774189632778402</v>
      </c>
      <c r="F100">
        <v>1773052568</v>
      </c>
      <c r="G100">
        <v>1773052603</v>
      </c>
      <c r="H100">
        <v>34.659999999999997</v>
      </c>
      <c r="I100">
        <v>3.1141896327784102</v>
      </c>
      <c r="J100">
        <v>3.1141896327784102</v>
      </c>
      <c r="K100">
        <v>8.5986732192808493</v>
      </c>
      <c r="L100">
        <v>82.754639625549302</v>
      </c>
      <c r="M100">
        <v>82.754639625549302</v>
      </c>
      <c r="N100" s="1">
        <v>4.6673537803843302E-6</v>
      </c>
      <c r="O100" s="2">
        <v>46090.442684953705</v>
      </c>
      <c r="P100" s="2">
        <v>46090.443122164354</v>
      </c>
      <c r="Q100" s="3" t="s">
        <v>121</v>
      </c>
      <c r="R100" s="3" t="s">
        <v>131</v>
      </c>
      <c r="T100">
        <f t="shared" si="1"/>
        <v>-3.1141896327784053</v>
      </c>
    </row>
    <row r="101" spans="1:20" x14ac:dyDescent="0.3">
      <c r="A101">
        <v>100</v>
      </c>
      <c r="B101">
        <v>4</v>
      </c>
      <c r="C101">
        <v>1773052655.6803999</v>
      </c>
      <c r="D101">
        <v>1773052766.4728501</v>
      </c>
      <c r="E101">
        <v>110.79244904737401</v>
      </c>
      <c r="F101">
        <v>1773052577</v>
      </c>
      <c r="G101">
        <v>1773052683</v>
      </c>
      <c r="H101">
        <v>106.506</v>
      </c>
      <c r="I101">
        <v>4.2864490473746297</v>
      </c>
      <c r="J101">
        <v>4.2864490473746297</v>
      </c>
      <c r="K101">
        <v>3.9452182619491301</v>
      </c>
      <c r="L101">
        <v>83.472856760024996</v>
      </c>
      <c r="M101">
        <v>83.472856760024996</v>
      </c>
      <c r="N101" s="1">
        <v>4.7078609448815801E-6</v>
      </c>
      <c r="O101" s="2">
        <v>46090.442774074072</v>
      </c>
      <c r="P101" s="2">
        <v>46090.444056400462</v>
      </c>
      <c r="Q101" s="3" t="s">
        <v>130</v>
      </c>
      <c r="R101" s="3" t="s">
        <v>132</v>
      </c>
      <c r="T101">
        <f t="shared" si="1"/>
        <v>-4.2864490473740062</v>
      </c>
    </row>
    <row r="102" spans="1:20" x14ac:dyDescent="0.3">
      <c r="A102">
        <v>101</v>
      </c>
      <c r="B102">
        <v>1</v>
      </c>
      <c r="C102">
        <v>1773052664.7330201</v>
      </c>
      <c r="D102">
        <v>1773052706.68924</v>
      </c>
      <c r="E102">
        <v>41.9562223235856</v>
      </c>
      <c r="F102">
        <v>1773052581</v>
      </c>
      <c r="G102">
        <v>1773052613</v>
      </c>
      <c r="H102">
        <v>31.963999999999999</v>
      </c>
      <c r="I102">
        <v>9.9922223235856702</v>
      </c>
      <c r="J102">
        <v>9.9922223235856702</v>
      </c>
      <c r="K102">
        <v>27.035152247905099</v>
      </c>
      <c r="L102">
        <v>93.689244270324707</v>
      </c>
      <c r="M102">
        <v>93.689244270324707</v>
      </c>
      <c r="N102" s="1">
        <v>5.2840643931317202E-6</v>
      </c>
      <c r="O102" s="2">
        <v>46090.44287885417</v>
      </c>
      <c r="P102" s="2">
        <v>46090.443364456019</v>
      </c>
      <c r="Q102" s="3" t="s">
        <v>128</v>
      </c>
      <c r="R102" s="3" t="s">
        <v>133</v>
      </c>
      <c r="T102">
        <f t="shared" si="1"/>
        <v>-9.9922223235856009</v>
      </c>
    </row>
    <row r="103" spans="1:20" x14ac:dyDescent="0.3">
      <c r="A103">
        <v>102</v>
      </c>
      <c r="B103">
        <v>2</v>
      </c>
      <c r="C103">
        <v>1773052674.6898701</v>
      </c>
      <c r="D103">
        <v>1773052708.2958801</v>
      </c>
      <c r="E103">
        <v>33.606007027017299</v>
      </c>
      <c r="F103">
        <v>1773052603</v>
      </c>
      <c r="G103">
        <v>1773052634</v>
      </c>
      <c r="H103">
        <v>31.568000000000001</v>
      </c>
      <c r="I103">
        <v>2.0380070270173798</v>
      </c>
      <c r="J103">
        <v>2.0380070270173798</v>
      </c>
      <c r="K103">
        <v>6.2540485693093597</v>
      </c>
      <c r="L103">
        <v>74.295884370803805</v>
      </c>
      <c r="M103">
        <v>74.295884370803805</v>
      </c>
      <c r="N103" s="1">
        <v>4.1902807276842904E-6</v>
      </c>
      <c r="O103" s="2">
        <v>46090.442994097219</v>
      </c>
      <c r="P103" s="2">
        <v>46090.443383055557</v>
      </c>
      <c r="Q103" s="3" t="s">
        <v>131</v>
      </c>
      <c r="R103" s="3" t="s">
        <v>134</v>
      </c>
      <c r="T103">
        <f t="shared" si="1"/>
        <v>-2.0380070270172972</v>
      </c>
    </row>
    <row r="104" spans="1:20" x14ac:dyDescent="0.3">
      <c r="A104">
        <v>103</v>
      </c>
      <c r="B104">
        <v>3</v>
      </c>
      <c r="C104">
        <v>1773052685.7546301</v>
      </c>
      <c r="D104">
        <v>1773052802.4075501</v>
      </c>
      <c r="E104">
        <v>116.652919871636</v>
      </c>
      <c r="F104">
        <v>1773052605</v>
      </c>
      <c r="G104">
        <v>1773052705</v>
      </c>
      <c r="H104">
        <v>99.703000000000003</v>
      </c>
      <c r="I104">
        <v>16.949919871636599</v>
      </c>
      <c r="J104">
        <v>16.949919871636599</v>
      </c>
      <c r="K104">
        <v>15.6685519690822</v>
      </c>
      <c r="L104">
        <v>97.407559394836397</v>
      </c>
      <c r="M104">
        <v>97.407559394836397</v>
      </c>
      <c r="N104" s="1">
        <v>5.4937767187896103E-6</v>
      </c>
      <c r="O104" s="2">
        <v>46090.443122164354</v>
      </c>
      <c r="P104" s="2">
        <v>46090.444472314812</v>
      </c>
      <c r="Q104" s="3" t="s">
        <v>127</v>
      </c>
      <c r="R104" s="3" t="s">
        <v>135</v>
      </c>
      <c r="T104">
        <f t="shared" si="1"/>
        <v>-16.949919871635998</v>
      </c>
    </row>
    <row r="105" spans="1:20" x14ac:dyDescent="0.3">
      <c r="A105">
        <v>104</v>
      </c>
      <c r="B105">
        <v>1</v>
      </c>
      <c r="C105">
        <v>1773052706.68924</v>
      </c>
      <c r="D105">
        <v>1773052774.6854801</v>
      </c>
      <c r="E105">
        <v>67.996237378322505</v>
      </c>
      <c r="F105">
        <v>1773052612</v>
      </c>
      <c r="G105">
        <v>1773052659</v>
      </c>
      <c r="H105">
        <v>46.564</v>
      </c>
      <c r="I105">
        <v>21.432237378322501</v>
      </c>
      <c r="J105">
        <v>21.432237378322501</v>
      </c>
      <c r="K105">
        <v>37.416538004447297</v>
      </c>
      <c r="L105">
        <v>115.685481548309</v>
      </c>
      <c r="M105">
        <v>115.685481548309</v>
      </c>
      <c r="N105" s="1">
        <v>6.5246498566782199E-6</v>
      </c>
      <c r="O105" s="2">
        <v>46090.443364456019</v>
      </c>
      <c r="P105" s="2">
        <v>46090.444151446762</v>
      </c>
      <c r="Q105" s="3" t="s">
        <v>136</v>
      </c>
      <c r="R105" s="3" t="s">
        <v>137</v>
      </c>
      <c r="T105">
        <f t="shared" si="1"/>
        <v>-21.432237378322505</v>
      </c>
    </row>
    <row r="106" spans="1:20" x14ac:dyDescent="0.3">
      <c r="A106">
        <v>105</v>
      </c>
      <c r="B106">
        <v>2</v>
      </c>
      <c r="C106">
        <v>1773052708.2958801</v>
      </c>
      <c r="D106">
        <v>1773052761.7395999</v>
      </c>
      <c r="E106">
        <v>53.4437192988295</v>
      </c>
      <c r="F106">
        <v>1773052634</v>
      </c>
      <c r="G106">
        <v>1773052668</v>
      </c>
      <c r="H106">
        <v>33.265999999999998</v>
      </c>
      <c r="I106">
        <v>20.177719298829501</v>
      </c>
      <c r="J106">
        <v>20.177719298829501</v>
      </c>
      <c r="K106">
        <v>46.540847927994399</v>
      </c>
      <c r="L106">
        <v>93.739603757858205</v>
      </c>
      <c r="M106">
        <v>93.739603757858205</v>
      </c>
      <c r="N106" s="1">
        <v>5.28690449932514E-6</v>
      </c>
      <c r="O106" s="2">
        <v>46090.443383055557</v>
      </c>
      <c r="P106" s="2">
        <v>46090.444001620373</v>
      </c>
      <c r="Q106" s="3" t="s">
        <v>134</v>
      </c>
      <c r="R106" s="3" t="s">
        <v>138</v>
      </c>
      <c r="T106">
        <f t="shared" si="1"/>
        <v>-20.177719298829501</v>
      </c>
    </row>
    <row r="107" spans="1:20" x14ac:dyDescent="0.3">
      <c r="A107">
        <v>106</v>
      </c>
      <c r="B107">
        <v>2</v>
      </c>
      <c r="C107">
        <v>1773052761.7395999</v>
      </c>
      <c r="D107">
        <v>1773052802.1882801</v>
      </c>
      <c r="E107">
        <v>40.448683009084299</v>
      </c>
      <c r="F107">
        <v>1773052659</v>
      </c>
      <c r="G107">
        <v>1773052690</v>
      </c>
      <c r="H107">
        <v>31.469000000000001</v>
      </c>
      <c r="I107">
        <v>8.9796830090843507</v>
      </c>
      <c r="J107">
        <v>8.9796830090843507</v>
      </c>
      <c r="K107">
        <v>24.9721143211748</v>
      </c>
      <c r="L107">
        <v>112.18828678131101</v>
      </c>
      <c r="M107">
        <v>112.18828678131101</v>
      </c>
      <c r="N107" s="1">
        <v>6.3274083091126598E-6</v>
      </c>
      <c r="O107" s="2">
        <v>46090.444001620373</v>
      </c>
      <c r="P107" s="2">
        <v>46090.444469768518</v>
      </c>
      <c r="Q107" s="3" t="s">
        <v>137</v>
      </c>
      <c r="R107" s="3" t="s">
        <v>139</v>
      </c>
      <c r="T107">
        <f t="shared" si="1"/>
        <v>-8.9796830090842974</v>
      </c>
    </row>
    <row r="108" spans="1:20" x14ac:dyDescent="0.3">
      <c r="A108">
        <v>107</v>
      </c>
      <c r="B108">
        <v>4</v>
      </c>
      <c r="C108">
        <v>1773052766.4728501</v>
      </c>
      <c r="D108">
        <v>1773052826.2232599</v>
      </c>
      <c r="E108">
        <v>59.750406893694297</v>
      </c>
      <c r="F108">
        <v>1773052667</v>
      </c>
      <c r="G108">
        <v>1773052710</v>
      </c>
      <c r="H108">
        <v>42.173000000000002</v>
      </c>
      <c r="I108">
        <v>17.577406893694199</v>
      </c>
      <c r="J108">
        <v>17.577406893694199</v>
      </c>
      <c r="K108">
        <v>34.491403749930399</v>
      </c>
      <c r="L108">
        <v>116.223263740539</v>
      </c>
      <c r="M108">
        <v>116.223263740539</v>
      </c>
      <c r="N108" s="1">
        <v>6.5549805302366502E-6</v>
      </c>
      <c r="O108" s="2">
        <v>46090.444056400462</v>
      </c>
      <c r="P108" s="2">
        <v>46090.444747951391</v>
      </c>
      <c r="Q108" s="3" t="s">
        <v>140</v>
      </c>
      <c r="R108" s="3" t="s">
        <v>141</v>
      </c>
      <c r="T108">
        <f t="shared" si="1"/>
        <v>-17.577406893694295</v>
      </c>
    </row>
    <row r="109" spans="1:20" x14ac:dyDescent="0.3">
      <c r="A109">
        <v>108</v>
      </c>
      <c r="B109">
        <v>1</v>
      </c>
      <c r="C109">
        <v>1773052774.6854801</v>
      </c>
      <c r="D109">
        <v>1773052823.6040399</v>
      </c>
      <c r="E109">
        <v>48.918563329757198</v>
      </c>
      <c r="F109">
        <v>1773052683</v>
      </c>
      <c r="G109">
        <v>1773052719</v>
      </c>
      <c r="H109">
        <v>35.731999999999999</v>
      </c>
      <c r="I109">
        <v>13.186563329757201</v>
      </c>
      <c r="J109">
        <v>13.186563329757201</v>
      </c>
      <c r="K109">
        <v>31.155287835212199</v>
      </c>
      <c r="L109">
        <v>104.60404491424499</v>
      </c>
      <c r="M109">
        <v>104.60404491424499</v>
      </c>
      <c r="N109" s="1">
        <v>5.8996577319822598E-6</v>
      </c>
      <c r="O109" s="2">
        <v>46090.444151446762</v>
      </c>
      <c r="P109" s="2">
        <v>46090.444717638886</v>
      </c>
      <c r="Q109" s="3" t="s">
        <v>132</v>
      </c>
      <c r="R109" s="3" t="s">
        <v>142</v>
      </c>
      <c r="T109">
        <f t="shared" si="1"/>
        <v>-13.186563329757199</v>
      </c>
    </row>
    <row r="110" spans="1:20" x14ac:dyDescent="0.3">
      <c r="A110">
        <v>109</v>
      </c>
      <c r="B110">
        <v>2</v>
      </c>
      <c r="C110">
        <v>1773052802.1882801</v>
      </c>
      <c r="D110">
        <v>1773052864.4647999</v>
      </c>
      <c r="E110">
        <v>62.276519288843403</v>
      </c>
      <c r="F110">
        <v>1773052690</v>
      </c>
      <c r="G110">
        <v>1773052765</v>
      </c>
      <c r="H110">
        <v>74.179000000000002</v>
      </c>
      <c r="I110">
        <v>-11.9024807111565</v>
      </c>
      <c r="J110">
        <v>11.9024807111565</v>
      </c>
      <c r="K110">
        <v>17.445216980870999</v>
      </c>
      <c r="L110">
        <v>99.464806079864502</v>
      </c>
      <c r="M110">
        <v>99.464806079864502</v>
      </c>
      <c r="N110" s="1">
        <v>5.6098050353269401E-6</v>
      </c>
      <c r="O110" s="2">
        <v>46090.444469768518</v>
      </c>
      <c r="P110" s="2">
        <v>46090.44519056713</v>
      </c>
      <c r="Q110" s="3" t="s">
        <v>139</v>
      </c>
      <c r="R110" s="3" t="s">
        <v>143</v>
      </c>
      <c r="T110">
        <f t="shared" si="1"/>
        <v>11.902480711156599</v>
      </c>
    </row>
    <row r="111" spans="1:20" x14ac:dyDescent="0.3">
      <c r="A111">
        <v>110</v>
      </c>
      <c r="B111">
        <v>3</v>
      </c>
      <c r="C111">
        <v>1773052802.4075501</v>
      </c>
      <c r="D111">
        <v>1773052868.87731</v>
      </c>
      <c r="E111">
        <v>66.469753819027304</v>
      </c>
      <c r="F111">
        <v>1773052705</v>
      </c>
      <c r="G111">
        <v>1773052766</v>
      </c>
      <c r="H111">
        <v>61.030999999999999</v>
      </c>
      <c r="I111">
        <v>5.4387538190273403</v>
      </c>
      <c r="J111">
        <v>5.4387538190273403</v>
      </c>
      <c r="K111">
        <v>8.5313280998276007</v>
      </c>
      <c r="L111">
        <v>102.877313137054</v>
      </c>
      <c r="M111">
        <v>102.877313137054</v>
      </c>
      <c r="N111" s="1">
        <v>5.8022700804632798E-6</v>
      </c>
      <c r="O111" s="2">
        <v>46090.444472314812</v>
      </c>
      <c r="P111" s="2">
        <v>46090.445241631947</v>
      </c>
      <c r="Q111" s="3" t="s">
        <v>135</v>
      </c>
      <c r="R111" s="3" t="s">
        <v>144</v>
      </c>
      <c r="T111">
        <f t="shared" si="1"/>
        <v>-5.4387538190273048</v>
      </c>
    </row>
    <row r="112" spans="1:20" x14ac:dyDescent="0.3">
      <c r="A112">
        <v>111</v>
      </c>
      <c r="B112">
        <v>1</v>
      </c>
      <c r="C112">
        <v>1773052823.6040399</v>
      </c>
      <c r="D112">
        <v>1773052868.01318</v>
      </c>
      <c r="E112">
        <v>44.4091441182062</v>
      </c>
      <c r="F112">
        <v>1773052710</v>
      </c>
      <c r="G112">
        <v>1773052755</v>
      </c>
      <c r="H112">
        <v>45.182000000000002</v>
      </c>
      <c r="I112">
        <v>-0.77285588179379505</v>
      </c>
      <c r="J112">
        <v>0.77285588179379505</v>
      </c>
      <c r="K112">
        <v>1.7252952608219601</v>
      </c>
      <c r="L112">
        <v>113.01318907737701</v>
      </c>
      <c r="M112">
        <v>113.01318907737701</v>
      </c>
      <c r="N112" s="1">
        <v>6.3739324820983701E-6</v>
      </c>
      <c r="O112" s="2">
        <v>46090.444717638886</v>
      </c>
      <c r="P112" s="2">
        <v>46090.445231631944</v>
      </c>
      <c r="Q112" s="3" t="s">
        <v>141</v>
      </c>
      <c r="R112" s="3" t="s">
        <v>145</v>
      </c>
      <c r="T112">
        <f t="shared" si="1"/>
        <v>0.77285588179380227</v>
      </c>
    </row>
    <row r="113" spans="1:20" x14ac:dyDescent="0.3">
      <c r="A113">
        <v>112</v>
      </c>
      <c r="B113">
        <v>4</v>
      </c>
      <c r="C113">
        <v>1773052826.2232599</v>
      </c>
      <c r="D113">
        <v>1773052872.1273201</v>
      </c>
      <c r="E113">
        <v>45.904056453270499</v>
      </c>
      <c r="F113">
        <v>1773052719</v>
      </c>
      <c r="G113">
        <v>1773052755</v>
      </c>
      <c r="H113">
        <v>36.713000000000001</v>
      </c>
      <c r="I113">
        <v>9.1910564532705408</v>
      </c>
      <c r="J113">
        <v>9.1910564532705408</v>
      </c>
      <c r="K113">
        <v>22.249779519726999</v>
      </c>
      <c r="L113">
        <v>117.12732028961101</v>
      </c>
      <c r="M113">
        <v>117.12732028961101</v>
      </c>
      <c r="N113" s="1">
        <v>6.6059690604589198E-6</v>
      </c>
      <c r="O113" s="2">
        <v>46090.444747951391</v>
      </c>
      <c r="P113" s="2">
        <v>46090.445279247688</v>
      </c>
      <c r="Q113" s="3" t="s">
        <v>142</v>
      </c>
      <c r="R113" s="3" t="s">
        <v>145</v>
      </c>
      <c r="T113">
        <f t="shared" si="1"/>
        <v>-9.1910564532704981</v>
      </c>
    </row>
    <row r="114" spans="1:20" x14ac:dyDescent="0.3">
      <c r="A114">
        <v>113</v>
      </c>
      <c r="B114">
        <v>2</v>
      </c>
      <c r="C114">
        <v>1773052864.4647999</v>
      </c>
      <c r="D114">
        <v>1773052919.93574</v>
      </c>
      <c r="E114">
        <v>55.470936219920297</v>
      </c>
      <c r="F114">
        <v>1773052755</v>
      </c>
      <c r="G114">
        <v>1773052798</v>
      </c>
      <c r="H114">
        <v>42.341999999999999</v>
      </c>
      <c r="I114">
        <v>13.1289362199203</v>
      </c>
      <c r="J114">
        <v>13.1289362199203</v>
      </c>
      <c r="K114">
        <v>26.844989481557999</v>
      </c>
      <c r="L114">
        <v>121.935742378234</v>
      </c>
      <c r="M114">
        <v>121.935742378234</v>
      </c>
      <c r="N114" s="1">
        <v>6.8771634055634397E-6</v>
      </c>
      <c r="O114" s="2">
        <v>46090.44519056713</v>
      </c>
      <c r="P114" s="2">
        <v>46090.445832592595</v>
      </c>
      <c r="Q114" s="3" t="s">
        <v>145</v>
      </c>
      <c r="R114" s="3" t="s">
        <v>146</v>
      </c>
      <c r="T114">
        <f t="shared" si="1"/>
        <v>-13.128936219920298</v>
      </c>
    </row>
    <row r="115" spans="1:20" x14ac:dyDescent="0.3">
      <c r="A115">
        <v>114</v>
      </c>
      <c r="B115">
        <v>1</v>
      </c>
      <c r="C115">
        <v>1773052868.01318</v>
      </c>
      <c r="D115">
        <v>1773052914.0286</v>
      </c>
      <c r="E115">
        <v>46.015414426322899</v>
      </c>
      <c r="F115">
        <v>1773052755</v>
      </c>
      <c r="G115">
        <v>1773052814</v>
      </c>
      <c r="H115">
        <v>59.795999999999999</v>
      </c>
      <c r="I115">
        <v>-13.780585573677</v>
      </c>
      <c r="J115">
        <v>13.780585573677</v>
      </c>
      <c r="K115">
        <v>26.047446106624999</v>
      </c>
      <c r="L115">
        <v>100.02860355377101</v>
      </c>
      <c r="M115">
        <v>100.02860355377101</v>
      </c>
      <c r="N115" s="1">
        <v>5.6416029992078702E-6</v>
      </c>
      <c r="O115" s="2">
        <v>46090.445231631944</v>
      </c>
      <c r="P115" s="2">
        <v>46090.44576422454</v>
      </c>
      <c r="Q115" s="3" t="s">
        <v>145</v>
      </c>
      <c r="R115" s="3" t="s">
        <v>147</v>
      </c>
      <c r="T115">
        <f t="shared" si="1"/>
        <v>13.780585573677101</v>
      </c>
    </row>
    <row r="116" spans="1:20" x14ac:dyDescent="0.3">
      <c r="A116">
        <v>115</v>
      </c>
      <c r="B116">
        <v>3</v>
      </c>
      <c r="C116">
        <v>1773052868.87731</v>
      </c>
      <c r="D116">
        <v>1773053111.4585199</v>
      </c>
      <c r="E116">
        <v>242.58120979664301</v>
      </c>
      <c r="F116">
        <v>1773052764</v>
      </c>
      <c r="G116">
        <v>1773052846</v>
      </c>
      <c r="H116">
        <v>81.757000000000005</v>
      </c>
      <c r="I116">
        <v>160.824209796643</v>
      </c>
      <c r="J116">
        <v>160.824209796643</v>
      </c>
      <c r="K116">
        <v>99.170683526605302</v>
      </c>
      <c r="L116">
        <v>265.45852303504898</v>
      </c>
      <c r="M116">
        <v>265.45852303504898</v>
      </c>
      <c r="N116" s="1">
        <v>1.4971832552082099E-5</v>
      </c>
      <c r="O116" s="2">
        <v>46090.445241631947</v>
      </c>
      <c r="P116" s="2">
        <v>46090.448049293984</v>
      </c>
      <c r="Q116" s="3" t="s">
        <v>148</v>
      </c>
      <c r="R116" s="3" t="s">
        <v>149</v>
      </c>
      <c r="T116">
        <f t="shared" si="1"/>
        <v>-160.824209796643</v>
      </c>
    </row>
    <row r="117" spans="1:20" x14ac:dyDescent="0.3">
      <c r="A117">
        <v>116</v>
      </c>
      <c r="B117">
        <v>4</v>
      </c>
      <c r="C117">
        <v>1773052872.1273201</v>
      </c>
      <c r="D117">
        <v>1773052936.7037499</v>
      </c>
      <c r="E117">
        <v>64.576436123427001</v>
      </c>
      <c r="F117">
        <v>1773052766</v>
      </c>
      <c r="G117">
        <v>1773052826</v>
      </c>
      <c r="H117">
        <v>59.981000000000002</v>
      </c>
      <c r="I117">
        <v>4.5954361234270102</v>
      </c>
      <c r="J117">
        <v>4.5954361234270102</v>
      </c>
      <c r="K117">
        <v>7.3788226001589798</v>
      </c>
      <c r="L117">
        <v>110.70375633239701</v>
      </c>
      <c r="M117">
        <v>110.70375633239701</v>
      </c>
      <c r="N117" s="1">
        <v>6.24368046191552E-6</v>
      </c>
      <c r="O117" s="2">
        <v>46090.445279247688</v>
      </c>
      <c r="P117" s="2">
        <v>46090.446026666665</v>
      </c>
      <c r="Q117" s="3" t="s">
        <v>144</v>
      </c>
      <c r="R117" s="3" t="s">
        <v>150</v>
      </c>
      <c r="T117">
        <f t="shared" si="1"/>
        <v>-4.5954361234269996</v>
      </c>
    </row>
    <row r="118" spans="1:20" x14ac:dyDescent="0.3">
      <c r="A118">
        <v>117</v>
      </c>
      <c r="B118">
        <v>1</v>
      </c>
      <c r="C118">
        <v>1773052914.0286</v>
      </c>
      <c r="D118">
        <v>1773052981.6293001</v>
      </c>
      <c r="E118">
        <v>67.600698975496599</v>
      </c>
      <c r="F118">
        <v>1773052798</v>
      </c>
      <c r="G118">
        <v>1773052838</v>
      </c>
      <c r="H118">
        <v>40.228000000000002</v>
      </c>
      <c r="I118">
        <v>27.372698975496601</v>
      </c>
      <c r="J118">
        <v>27.372698975496601</v>
      </c>
      <c r="K118">
        <v>50.770711759615899</v>
      </c>
      <c r="L118">
        <v>143.62930250167801</v>
      </c>
      <c r="M118">
        <v>143.62930250167801</v>
      </c>
      <c r="N118" s="1">
        <v>8.1006777466495893E-6</v>
      </c>
      <c r="O118" s="2">
        <v>46090.44576422454</v>
      </c>
      <c r="P118" s="2">
        <v>46090.446546631945</v>
      </c>
      <c r="Q118" s="3" t="s">
        <v>146</v>
      </c>
      <c r="R118" s="3" t="s">
        <v>151</v>
      </c>
      <c r="T118">
        <f t="shared" si="1"/>
        <v>-27.372698975496597</v>
      </c>
    </row>
    <row r="119" spans="1:20" x14ac:dyDescent="0.3">
      <c r="A119">
        <v>118</v>
      </c>
      <c r="B119">
        <v>2</v>
      </c>
      <c r="C119">
        <v>1773052919.93574</v>
      </c>
      <c r="D119">
        <v>1773052977.49666</v>
      </c>
      <c r="E119">
        <v>57.560921922797299</v>
      </c>
      <c r="F119">
        <v>1773052814</v>
      </c>
      <c r="G119">
        <v>1773052896</v>
      </c>
      <c r="H119">
        <v>81.537999999999997</v>
      </c>
      <c r="I119">
        <v>-23.977078077202599</v>
      </c>
      <c r="J119">
        <v>23.977078077202599</v>
      </c>
      <c r="K119">
        <v>34.474858245861</v>
      </c>
      <c r="L119">
        <v>81.496664285659705</v>
      </c>
      <c r="M119">
        <v>81.496664285659705</v>
      </c>
      <c r="N119" s="1">
        <v>4.5964033332879199E-6</v>
      </c>
      <c r="O119" s="2">
        <v>46090.445832592595</v>
      </c>
      <c r="P119" s="2">
        <v>46090.446498807869</v>
      </c>
      <c r="Q119" s="3" t="s">
        <v>147</v>
      </c>
      <c r="R119" s="3" t="s">
        <v>152</v>
      </c>
      <c r="T119">
        <f t="shared" si="1"/>
        <v>23.977078077202698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Michalowski</dc:creator>
  <cp:lastModifiedBy>Szymon Michalowski</cp:lastModifiedBy>
  <dcterms:created xsi:type="dcterms:W3CDTF">2015-06-05T18:19:34Z</dcterms:created>
  <dcterms:modified xsi:type="dcterms:W3CDTF">2026-06-18T11:15:06Z</dcterms:modified>
</cp:coreProperties>
</file>