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 1/offline grain 222/"/>
    </mc:Choice>
  </mc:AlternateContent>
  <xr:revisionPtr revIDLastSave="28" documentId="11_AD4DADEC636C813AC809E415181B7BC65BDEDD96" xr6:coauthVersionLast="47" xr6:coauthVersionMax="47" xr10:uidLastSave="{93D91FCE-B5EB-4424-AAE4-CF4888E9C89B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9" i="1" l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X2" i="1"/>
  <c r="W2" i="1"/>
  <c r="V2" i="1"/>
  <c r="U2" i="1"/>
  <c r="T2" i="1"/>
</calcChain>
</file>

<file path=xl/sharedStrings.xml><?xml version="1.0" encoding="utf-8"?>
<sst xmlns="http://schemas.openxmlformats.org/spreadsheetml/2006/main" count="259" uniqueCount="157">
  <si>
    <t>queue_position</t>
  </si>
  <si>
    <t>worker_id</t>
  </si>
  <si>
    <t>predicted_start_time</t>
  </si>
  <si>
    <t>predicted_end_time</t>
  </si>
  <si>
    <t>predicted_duration_seconds</t>
  </si>
  <si>
    <t>real_start_time</t>
  </si>
  <si>
    <t>real_end_time</t>
  </si>
  <si>
    <t>real_duration_seconds</t>
  </si>
  <si>
    <t>duration_error_seconds</t>
  </si>
  <si>
    <t>duration_abs_error_seconds</t>
  </si>
  <si>
    <t>duration_smape</t>
  </si>
  <si>
    <t>end_time_error_seconds</t>
  </si>
  <si>
    <t>end_time_abs_error_seconds</t>
  </si>
  <si>
    <t>end_time_smape</t>
  </si>
  <si>
    <t>predicted_start_datetime</t>
  </si>
  <si>
    <t>predicted_end_datetime</t>
  </si>
  <si>
    <t>real_start_datetime</t>
  </si>
  <si>
    <t>real_end_datetime</t>
  </si>
  <si>
    <t>9,03,2026  10:10:47</t>
  </si>
  <si>
    <t>9,03,2026  10:11:27</t>
  </si>
  <si>
    <t>9,03,2026  10:11:25</t>
  </si>
  <si>
    <t>9,03,2026  10:12:02</t>
  </si>
  <si>
    <t>9,03,2026  10:11:52</t>
  </si>
  <si>
    <t>9,03,2026  10:12:18</t>
  </si>
  <si>
    <t>9,03,2026  10:11:26</t>
  </si>
  <si>
    <t>9,03,2026  10:12:07</t>
  </si>
  <si>
    <t>9,03,2026  10:12:19</t>
  </si>
  <si>
    <t>9,03,2026  10:12:37</t>
  </si>
  <si>
    <t>9,03,2026  10:12:38</t>
  </si>
  <si>
    <t>9,03,2026  10:12:57</t>
  </si>
  <si>
    <t>9,03,2026  10:13:03</t>
  </si>
  <si>
    <t>9,03,2026  10:13:05</t>
  </si>
  <si>
    <t>9,03,2026  10:12:40</t>
  </si>
  <si>
    <t>9,03,2026  10:13:18</t>
  </si>
  <si>
    <t>9,03,2026  10:12:56</t>
  </si>
  <si>
    <t>9,03,2026  10:13:26</t>
  </si>
  <si>
    <t>9,03,2026  10:13:38</t>
  </si>
  <si>
    <t>9,03,2026  10:13:39</t>
  </si>
  <si>
    <t>9,03,2026  10:13:52</t>
  </si>
  <si>
    <t>9,03,2026  10:15:26</t>
  </si>
  <si>
    <t>9,03,2026  10:14:08</t>
  </si>
  <si>
    <t>9,03,2026  10:14:15</t>
  </si>
  <si>
    <t>9,03,2026  10:14:19</t>
  </si>
  <si>
    <t>9,03,2026  10:15:29</t>
  </si>
  <si>
    <t>9,03,2026  10:15:48</t>
  </si>
  <si>
    <t>9,03,2026  10:16:29</t>
  </si>
  <si>
    <t>9,03,2026  10:15:58</t>
  </si>
  <si>
    <t>9,03,2026  10:15:28</t>
  </si>
  <si>
    <t>9,03,2026  10:15:59</t>
  </si>
  <si>
    <t>9,03,2026  10:15:47</t>
  </si>
  <si>
    <t>9,03,2026  10:16:58</t>
  </si>
  <si>
    <t>9,03,2026  10:19:23</t>
  </si>
  <si>
    <t>9,03,2026  10:16:32</t>
  </si>
  <si>
    <t>9,03,2026  10:18:02</t>
  </si>
  <si>
    <t>9,03,2026  10:17:53</t>
  </si>
  <si>
    <t>9,03,2026  10:17:29</t>
  </si>
  <si>
    <t>9,03,2026  10:18:03</t>
  </si>
  <si>
    <t>9,03,2026  10:17:52</t>
  </si>
  <si>
    <t>9,03,2026  10:18:21</t>
  </si>
  <si>
    <t>9,03,2026  10:18:35</t>
  </si>
  <si>
    <t>9,03,2026  10:19:03</t>
  </si>
  <si>
    <t>9,03,2026  10:19:24</t>
  </si>
  <si>
    <t>9,03,2026  10:19:33</t>
  </si>
  <si>
    <t>9,03,2026  10:19:58</t>
  </si>
  <si>
    <t>9,03,2026  10:19:53</t>
  </si>
  <si>
    <t>9,03,2026  10:20:54</t>
  </si>
  <si>
    <t>9,03,2026  10:20:11</t>
  </si>
  <si>
    <t>9,03,2026  10:20:32</t>
  </si>
  <si>
    <t>9,03,2026  10:20:38</t>
  </si>
  <si>
    <t>9,03,2026  10:22:32</t>
  </si>
  <si>
    <t>9,03,2026  10:22:00</t>
  </si>
  <si>
    <t>9,03,2026  10:21:19</t>
  </si>
  <si>
    <t>9,03,2026  10:21:59</t>
  </si>
  <si>
    <t>9,03,2026  10:23:57</t>
  </si>
  <si>
    <t>9,03,2026  10:23:59</t>
  </si>
  <si>
    <t>9,03,2026  10:24:24</t>
  </si>
  <si>
    <t>9,03,2026  10:22:31</t>
  </si>
  <si>
    <t>9,03,2026  10:24:30</t>
  </si>
  <si>
    <t>9,03,2026  10:25:22</t>
  </si>
  <si>
    <t>9,03,2026  10:23:58</t>
  </si>
  <si>
    <t>9,03,2026  10:24:37</t>
  </si>
  <si>
    <t>9,03,2026  10:24:23</t>
  </si>
  <si>
    <t>9,03,2026  10:26:07</t>
  </si>
  <si>
    <t>9,03,2026  10:24:59</t>
  </si>
  <si>
    <t>9,03,2026  10:25:39</t>
  </si>
  <si>
    <t>9,03,2026  10:26:54</t>
  </si>
  <si>
    <t>9,03,2026  10:27:04</t>
  </si>
  <si>
    <t>9,03,2026  10:25:38</t>
  </si>
  <si>
    <t>9,03,2026  10:27:32</t>
  </si>
  <si>
    <t>9,03,2026  10:27:22</t>
  </si>
  <si>
    <t>9,03,2026  10:28:56</t>
  </si>
  <si>
    <t>9,03,2026  10:28:00</t>
  </si>
  <si>
    <t>9,03,2026  10:28:45</t>
  </si>
  <si>
    <t>9,03,2026  10:27:31</t>
  </si>
  <si>
    <t>9,03,2026  10:28:36</t>
  </si>
  <si>
    <t>9,03,2026  10:29:18</t>
  </si>
  <si>
    <t>9,03,2026  10:28:35</t>
  </si>
  <si>
    <t>9,03,2026  10:29:29</t>
  </si>
  <si>
    <t>9,03,2026  10:29:44</t>
  </si>
  <si>
    <t>9,03,2026  10:30:00</t>
  </si>
  <si>
    <t>9,03,2026  10:31:17</t>
  </si>
  <si>
    <t>9,03,2026  10:30:04</t>
  </si>
  <si>
    <t>9,03,2026  10:30:40</t>
  </si>
  <si>
    <t>9,03,2026  10:31:22</t>
  </si>
  <si>
    <t>9,03,2026  10:32:05</t>
  </si>
  <si>
    <t>9,03,2026  10:30:39</t>
  </si>
  <si>
    <t>9,03,2026  10:31:30</t>
  </si>
  <si>
    <t>9,03,2026  10:31:58</t>
  </si>
  <si>
    <t>9,03,2026  10:32:16</t>
  </si>
  <si>
    <t>9,03,2026  10:32:42</t>
  </si>
  <si>
    <t>9,03,2026  10:32:55</t>
  </si>
  <si>
    <t>9,03,2026  10:33:02</t>
  </si>
  <si>
    <t>9,03,2026  10:33:13</t>
  </si>
  <si>
    <t>9,03,2026  10:32:41</t>
  </si>
  <si>
    <t>9,03,2026  10:33:18</t>
  </si>
  <si>
    <t>9,03,2026  10:34:51</t>
  </si>
  <si>
    <t>9,03,2026  10:33:01</t>
  </si>
  <si>
    <t>9,03,2026  10:34:12</t>
  </si>
  <si>
    <t>9,03,2026  10:33:50</t>
  </si>
  <si>
    <t>9,03,2026  10:34:03</t>
  </si>
  <si>
    <t>9,03,2026  10:34:26</t>
  </si>
  <si>
    <t>9,03,2026  10:36:08</t>
  </si>
  <si>
    <t>9,03,2026  10:34:49</t>
  </si>
  <si>
    <t>9,03,2026  10:35:14</t>
  </si>
  <si>
    <t>9,03,2026  10:35:26</t>
  </si>
  <si>
    <t>9,03,2026  10:34:50</t>
  </si>
  <si>
    <t>9,03,2026  10:35:34</t>
  </si>
  <si>
    <t>9,03,2026  10:36:45</t>
  </si>
  <si>
    <t>9,03,2026  10:36:21</t>
  </si>
  <si>
    <t>9,03,2026  10:35:33</t>
  </si>
  <si>
    <t>9,03,2026  10:36:17</t>
  </si>
  <si>
    <t>9,03,2026  10:36:43</t>
  </si>
  <si>
    <t>9,03,2026  10:38:03</t>
  </si>
  <si>
    <t>9,03,2026  10:36:53</t>
  </si>
  <si>
    <t>9,03,2026  10:37:14</t>
  </si>
  <si>
    <t>9,03,2026  10:38:25</t>
  </si>
  <si>
    <t>9,03,2026  10:36:52</t>
  </si>
  <si>
    <t>9,03,2026  10:37:39</t>
  </si>
  <si>
    <t>9,03,2026  10:37:48</t>
  </si>
  <si>
    <t>9,03,2026  10:38:10</t>
  </si>
  <si>
    <t>9,03,2026  10:37:47</t>
  </si>
  <si>
    <t>9,03,2026  10:38:30</t>
  </si>
  <si>
    <t>9,03,2026  10:38:39</t>
  </si>
  <si>
    <t>9,03,2026  10:39:25</t>
  </si>
  <si>
    <t>9,03,2026  10:39:26</t>
  </si>
  <si>
    <t>9,03,2026  10:39:15</t>
  </si>
  <si>
    <t>9,03,2026  10:39:58</t>
  </si>
  <si>
    <t>9,03,2026  10:40:14</t>
  </si>
  <si>
    <t>9,03,2026  10:40:26</t>
  </si>
  <si>
    <t>9,03,2026  10:40:38</t>
  </si>
  <si>
    <t>9,03,2026  10:41:36</t>
  </si>
  <si>
    <t>9,03,2026  10:41:07</t>
  </si>
  <si>
    <t>residua</t>
  </si>
  <si>
    <t>średnie_res</t>
  </si>
  <si>
    <t>mediana_res</t>
  </si>
  <si>
    <t>pred_zawyzone</t>
  </si>
  <si>
    <t>pred_zanizone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</si>
</sst>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47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 vs Predicted CBR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</c:numCache>
            </c:numRef>
          </c:xVal>
          <c:yVal>
            <c:numRef>
              <c:f>Arkusz1!$E$2:$E$186</c:f>
              <c:numCache>
                <c:formatCode>General</c:formatCode>
                <c:ptCount val="185"/>
                <c:pt idx="0">
                  <c:v>31.5489999999999</c:v>
                </c:pt>
                <c:pt idx="1">
                  <c:v>61.022666666666602</c:v>
                </c:pt>
                <c:pt idx="2">
                  <c:v>104.165333333333</c:v>
                </c:pt>
                <c:pt idx="3">
                  <c:v>95.009666666666604</c:v>
                </c:pt>
                <c:pt idx="4">
                  <c:v>66.5863333333333</c:v>
                </c:pt>
                <c:pt idx="5">
                  <c:v>41.879999999999903</c:v>
                </c:pt>
                <c:pt idx="6">
                  <c:v>35.862666666666598</c:v>
                </c:pt>
                <c:pt idx="7">
                  <c:v>109.777</c:v>
                </c:pt>
                <c:pt idx="8">
                  <c:v>136.053</c:v>
                </c:pt>
                <c:pt idx="9">
                  <c:v>64.121333333333297</c:v>
                </c:pt>
                <c:pt idx="10">
                  <c:v>36.484999999999999</c:v>
                </c:pt>
                <c:pt idx="11">
                  <c:v>79.951999999999998</c:v>
                </c:pt>
                <c:pt idx="12">
                  <c:v>43.451666666666597</c:v>
                </c:pt>
                <c:pt idx="13">
                  <c:v>65.510666666666594</c:v>
                </c:pt>
                <c:pt idx="14">
                  <c:v>26.225999999999999</c:v>
                </c:pt>
                <c:pt idx="15">
                  <c:v>70.06</c:v>
                </c:pt>
                <c:pt idx="16">
                  <c:v>31.014666666666599</c:v>
                </c:pt>
                <c:pt idx="17">
                  <c:v>45.69</c:v>
                </c:pt>
                <c:pt idx="18">
                  <c:v>74.588999999999999</c:v>
                </c:pt>
                <c:pt idx="19">
                  <c:v>54.856999999999999</c:v>
                </c:pt>
                <c:pt idx="20">
                  <c:v>45.522666666666602</c:v>
                </c:pt>
                <c:pt idx="21">
                  <c:v>44.930999999999997</c:v>
                </c:pt>
                <c:pt idx="22">
                  <c:v>73.454999999999998</c:v>
                </c:pt>
                <c:pt idx="23">
                  <c:v>77.849666666666593</c:v>
                </c:pt>
                <c:pt idx="24">
                  <c:v>73.404333333333298</c:v>
                </c:pt>
                <c:pt idx="25">
                  <c:v>29.7736666666666</c:v>
                </c:pt>
                <c:pt idx="26">
                  <c:v>32.736666666666601</c:v>
                </c:pt>
                <c:pt idx="27">
                  <c:v>49.6963333333333</c:v>
                </c:pt>
                <c:pt idx="28">
                  <c:v>104.165333333333</c:v>
                </c:pt>
                <c:pt idx="29">
                  <c:v>32.8363333333333</c:v>
                </c:pt>
                <c:pt idx="30">
                  <c:v>79.533666666666605</c:v>
                </c:pt>
                <c:pt idx="31">
                  <c:v>87.991666666666603</c:v>
                </c:pt>
                <c:pt idx="32">
                  <c:v>30.848333333333301</c:v>
                </c:pt>
                <c:pt idx="33">
                  <c:v>44.168333333333301</c:v>
                </c:pt>
                <c:pt idx="34">
                  <c:v>40.304333333333297</c:v>
                </c:pt>
                <c:pt idx="35">
                  <c:v>45.503333333333302</c:v>
                </c:pt>
                <c:pt idx="36">
                  <c:v>55.942999999999998</c:v>
                </c:pt>
                <c:pt idx="37">
                  <c:v>57.429333333333297</c:v>
                </c:pt>
                <c:pt idx="38">
                  <c:v>44.8393333333333</c:v>
                </c:pt>
                <c:pt idx="39">
                  <c:v>30.876999999999999</c:v>
                </c:pt>
                <c:pt idx="40">
                  <c:v>42.643666666666597</c:v>
                </c:pt>
                <c:pt idx="41">
                  <c:v>34.6533333333333</c:v>
                </c:pt>
                <c:pt idx="42">
                  <c:v>89.914666666666605</c:v>
                </c:pt>
                <c:pt idx="43">
                  <c:v>72.380666666666599</c:v>
                </c:pt>
                <c:pt idx="44">
                  <c:v>51.096333333333298</c:v>
                </c:pt>
                <c:pt idx="45">
                  <c:v>51.300666666666601</c:v>
                </c:pt>
                <c:pt idx="46">
                  <c:v>114.33366666666601</c:v>
                </c:pt>
                <c:pt idx="47">
                  <c:v>100.419666666666</c:v>
                </c:pt>
                <c:pt idx="48">
                  <c:v>72.791999999999902</c:v>
                </c:pt>
                <c:pt idx="49">
                  <c:v>41.040666666666603</c:v>
                </c:pt>
                <c:pt idx="50">
                  <c:v>51.782333333333298</c:v>
                </c:pt>
                <c:pt idx="51">
                  <c:v>81.986999999999995</c:v>
                </c:pt>
                <c:pt idx="52">
                  <c:v>99.119333333333302</c:v>
                </c:pt>
                <c:pt idx="53">
                  <c:v>175.77166666666599</c:v>
                </c:pt>
                <c:pt idx="54">
                  <c:v>104.073666666666</c:v>
                </c:pt>
                <c:pt idx="55">
                  <c:v>80.531666666666595</c:v>
                </c:pt>
                <c:pt idx="56">
                  <c:v>74.596333333333305</c:v>
                </c:pt>
                <c:pt idx="57">
                  <c:v>103.7</c:v>
                </c:pt>
                <c:pt idx="58">
                  <c:v>75.358000000000004</c:v>
                </c:pt>
                <c:pt idx="59">
                  <c:v>75.777333333333303</c:v>
                </c:pt>
                <c:pt idx="60">
                  <c:v>107.004666666666</c:v>
                </c:pt>
                <c:pt idx="61">
                  <c:v>109.819666666666</c:v>
                </c:pt>
                <c:pt idx="62">
                  <c:v>82.545000000000002</c:v>
                </c:pt>
                <c:pt idx="63">
                  <c:v>37.933</c:v>
                </c:pt>
                <c:pt idx="64">
                  <c:v>97.027666666666605</c:v>
                </c:pt>
                <c:pt idx="65">
                  <c:v>35.518333333333302</c:v>
                </c:pt>
                <c:pt idx="66">
                  <c:v>43.9003333333333</c:v>
                </c:pt>
                <c:pt idx="67">
                  <c:v>37.920333333333303</c:v>
                </c:pt>
                <c:pt idx="68">
                  <c:v>37.829666666666597</c:v>
                </c:pt>
                <c:pt idx="69">
                  <c:v>31.810666666666599</c:v>
                </c:pt>
                <c:pt idx="70">
                  <c:v>34.323</c:v>
                </c:pt>
                <c:pt idx="71">
                  <c:v>46.4033333333333</c:v>
                </c:pt>
                <c:pt idx="72">
                  <c:v>107.581666666666</c:v>
                </c:pt>
                <c:pt idx="73">
                  <c:v>29.801666666666598</c:v>
                </c:pt>
                <c:pt idx="74">
                  <c:v>35.698999999999998</c:v>
                </c:pt>
                <c:pt idx="75">
                  <c:v>38.624000000000002</c:v>
                </c:pt>
                <c:pt idx="76">
                  <c:v>118.72433333333301</c:v>
                </c:pt>
                <c:pt idx="77">
                  <c:v>72.998333333333306</c:v>
                </c:pt>
                <c:pt idx="78">
                  <c:v>47.456666666666599</c:v>
                </c:pt>
                <c:pt idx="79">
                  <c:v>52.811333333333302</c:v>
                </c:pt>
                <c:pt idx="80">
                  <c:v>41.044333333333299</c:v>
                </c:pt>
                <c:pt idx="81">
                  <c:v>38.4613333333333</c:v>
                </c:pt>
                <c:pt idx="82">
                  <c:v>38.763666666666602</c:v>
                </c:pt>
                <c:pt idx="83">
                  <c:v>42.312666666666601</c:v>
                </c:pt>
                <c:pt idx="84">
                  <c:v>25.893333333333299</c:v>
                </c:pt>
                <c:pt idx="85">
                  <c:v>136.72266666666599</c:v>
                </c:pt>
                <c:pt idx="86">
                  <c:v>40.744</c:v>
                </c:pt>
                <c:pt idx="87">
                  <c:v>53.784999999999997</c:v>
                </c:pt>
                <c:pt idx="88">
                  <c:v>54.485666666666603</c:v>
                </c:pt>
                <c:pt idx="89">
                  <c:v>33.414000000000001</c:v>
                </c:pt>
                <c:pt idx="90">
                  <c:v>115.041666666666</c:v>
                </c:pt>
                <c:pt idx="91">
                  <c:v>46.731999999999999</c:v>
                </c:pt>
                <c:pt idx="92">
                  <c:v>47.548999999999999</c:v>
                </c:pt>
                <c:pt idx="93">
                  <c:v>44.256333333333302</c:v>
                </c:pt>
                <c:pt idx="94">
                  <c:v>52.29</c:v>
                </c:pt>
                <c:pt idx="95">
                  <c:v>138.053666666666</c:v>
                </c:pt>
                <c:pt idx="96">
                  <c:v>46.608333333333299</c:v>
                </c:pt>
                <c:pt idx="97">
                  <c:v>63.771666666666597</c:v>
                </c:pt>
                <c:pt idx="98">
                  <c:v>54.15</c:v>
                </c:pt>
                <c:pt idx="99">
                  <c:v>109.414333333333</c:v>
                </c:pt>
                <c:pt idx="100">
                  <c:v>71.622333333333302</c:v>
                </c:pt>
                <c:pt idx="101">
                  <c:v>53.569666666666599</c:v>
                </c:pt>
                <c:pt idx="102">
                  <c:v>108.882666666666</c:v>
                </c:pt>
                <c:pt idx="103">
                  <c:v>41.040666666666603</c:v>
                </c:pt>
                <c:pt idx="104">
                  <c:v>71.055333333333294</c:v>
                </c:pt>
                <c:pt idx="105">
                  <c:v>49.029000000000003</c:v>
                </c:pt>
                <c:pt idx="106">
                  <c:v>44.9746666666666</c:v>
                </c:pt>
                <c:pt idx="107">
                  <c:v>57.873666666666601</c:v>
                </c:pt>
                <c:pt idx="108">
                  <c:v>57.060666666666599</c:v>
                </c:pt>
                <c:pt idx="109">
                  <c:v>111.56699999999999</c:v>
                </c:pt>
                <c:pt idx="110">
                  <c:v>50.3943333333333</c:v>
                </c:pt>
                <c:pt idx="111">
                  <c:v>45.253333333333302</c:v>
                </c:pt>
                <c:pt idx="112">
                  <c:v>98.797333333333299</c:v>
                </c:pt>
                <c:pt idx="113">
                  <c:v>44.354333333333301</c:v>
                </c:pt>
                <c:pt idx="114">
                  <c:v>59.510666666666602</c:v>
                </c:pt>
                <c:pt idx="115">
                  <c:v>76.534333333333294</c:v>
                </c:pt>
                <c:pt idx="116">
                  <c:v>59.3556666666666</c:v>
                </c:pt>
                <c:pt idx="117">
                  <c:v>46.319333333333297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B6-4E73-B9B9-AB4C46AE5720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</c:numCache>
            </c:numRef>
          </c:xVal>
          <c:yVal>
            <c:numRef>
              <c:f>Arkusz1!$H$2:$H$186</c:f>
              <c:numCache>
                <c:formatCode>General</c:formatCode>
                <c:ptCount val="185"/>
                <c:pt idx="0">
                  <c:v>39.847000000000001</c:v>
                </c:pt>
                <c:pt idx="1">
                  <c:v>37.893000000000001</c:v>
                </c:pt>
                <c:pt idx="2">
                  <c:v>75.8</c:v>
                </c:pt>
                <c:pt idx="3">
                  <c:v>65.260000000000005</c:v>
                </c:pt>
                <c:pt idx="4">
                  <c:v>52.973999999999997</c:v>
                </c:pt>
                <c:pt idx="5">
                  <c:v>40.587000000000003</c:v>
                </c:pt>
                <c:pt idx="6">
                  <c:v>27.202999999999999</c:v>
                </c:pt>
                <c:pt idx="7">
                  <c:v>34.738999999999997</c:v>
                </c:pt>
                <c:pt idx="8">
                  <c:v>30.835000000000001</c:v>
                </c:pt>
                <c:pt idx="9">
                  <c:v>39.046999999999997</c:v>
                </c:pt>
                <c:pt idx="10">
                  <c:v>44.473999999999997</c:v>
                </c:pt>
                <c:pt idx="11">
                  <c:v>28.206</c:v>
                </c:pt>
                <c:pt idx="12">
                  <c:v>2.5779999999999998</c:v>
                </c:pt>
                <c:pt idx="13">
                  <c:v>38.183</c:v>
                </c:pt>
                <c:pt idx="14">
                  <c:v>29.25</c:v>
                </c:pt>
                <c:pt idx="15">
                  <c:v>34.893000000000001</c:v>
                </c:pt>
                <c:pt idx="16">
                  <c:v>33.551000000000002</c:v>
                </c:pt>
                <c:pt idx="17">
                  <c:v>33.956000000000003</c:v>
                </c:pt>
                <c:pt idx="18">
                  <c:v>120.52</c:v>
                </c:pt>
                <c:pt idx="19">
                  <c:v>30.582999999999998</c:v>
                </c:pt>
                <c:pt idx="20">
                  <c:v>35.950000000000003</c:v>
                </c:pt>
                <c:pt idx="21">
                  <c:v>26.917999999999999</c:v>
                </c:pt>
                <c:pt idx="22">
                  <c:v>80.146000000000001</c:v>
                </c:pt>
                <c:pt idx="23">
                  <c:v>92.787999999999997</c:v>
                </c:pt>
                <c:pt idx="24">
                  <c:v>130.32300000000001</c:v>
                </c:pt>
                <c:pt idx="25">
                  <c:v>32.110999999999997</c:v>
                </c:pt>
                <c:pt idx="26">
                  <c:v>31.187999999999999</c:v>
                </c:pt>
                <c:pt idx="27">
                  <c:v>70.463999999999999</c:v>
                </c:pt>
                <c:pt idx="28">
                  <c:v>204.852</c:v>
                </c:pt>
                <c:pt idx="29">
                  <c:v>32.878</c:v>
                </c:pt>
                <c:pt idx="30">
                  <c:v>92.933000000000007</c:v>
                </c:pt>
                <c:pt idx="31">
                  <c:v>80.352999999999994</c:v>
                </c:pt>
                <c:pt idx="32">
                  <c:v>30.995999999999999</c:v>
                </c:pt>
                <c:pt idx="33">
                  <c:v>34.664000000000001</c:v>
                </c:pt>
                <c:pt idx="34">
                  <c:v>28.068000000000001</c:v>
                </c:pt>
                <c:pt idx="35">
                  <c:v>33.451999999999998</c:v>
                </c:pt>
                <c:pt idx="36">
                  <c:v>59.23</c:v>
                </c:pt>
                <c:pt idx="37">
                  <c:v>63.006999999999998</c:v>
                </c:pt>
                <c:pt idx="38">
                  <c:v>48.828000000000003</c:v>
                </c:pt>
                <c:pt idx="39">
                  <c:v>30.416</c:v>
                </c:pt>
                <c:pt idx="40">
                  <c:v>35.201000000000001</c:v>
                </c:pt>
                <c:pt idx="41">
                  <c:v>30.437000000000001</c:v>
                </c:pt>
                <c:pt idx="42">
                  <c:v>90.41</c:v>
                </c:pt>
                <c:pt idx="43">
                  <c:v>37.186999999999998</c:v>
                </c:pt>
                <c:pt idx="44">
                  <c:v>39.094999999999999</c:v>
                </c:pt>
                <c:pt idx="45">
                  <c:v>39.363999999999997</c:v>
                </c:pt>
                <c:pt idx="46">
                  <c:v>140.96600000000001</c:v>
                </c:pt>
                <c:pt idx="47">
                  <c:v>88.820999999999998</c:v>
                </c:pt>
                <c:pt idx="48">
                  <c:v>82.004000000000005</c:v>
                </c:pt>
                <c:pt idx="49">
                  <c:v>24.875</c:v>
                </c:pt>
                <c:pt idx="50">
                  <c:v>41.027999999999999</c:v>
                </c:pt>
                <c:pt idx="51">
                  <c:v>118.265</c:v>
                </c:pt>
                <c:pt idx="52">
                  <c:v>119.389</c:v>
                </c:pt>
                <c:pt idx="53">
                  <c:v>144.33799999999999</c:v>
                </c:pt>
                <c:pt idx="54">
                  <c:v>118.134</c:v>
                </c:pt>
                <c:pt idx="55">
                  <c:v>84.88</c:v>
                </c:pt>
                <c:pt idx="56">
                  <c:v>39.204000000000001</c:v>
                </c:pt>
                <c:pt idx="57">
                  <c:v>103.16200000000001</c:v>
                </c:pt>
                <c:pt idx="58">
                  <c:v>29.131</c:v>
                </c:pt>
                <c:pt idx="59">
                  <c:v>61.146999999999998</c:v>
                </c:pt>
                <c:pt idx="60">
                  <c:v>114.723</c:v>
                </c:pt>
                <c:pt idx="61">
                  <c:v>101.61799999999999</c:v>
                </c:pt>
                <c:pt idx="62">
                  <c:v>113.67</c:v>
                </c:pt>
                <c:pt idx="63">
                  <c:v>75.174000000000007</c:v>
                </c:pt>
                <c:pt idx="64">
                  <c:v>121.727</c:v>
                </c:pt>
                <c:pt idx="65">
                  <c:v>56.145000000000003</c:v>
                </c:pt>
                <c:pt idx="66">
                  <c:v>82.858999999999995</c:v>
                </c:pt>
                <c:pt idx="67">
                  <c:v>64.257999999999996</c:v>
                </c:pt>
                <c:pt idx="68">
                  <c:v>77.992000000000004</c:v>
                </c:pt>
                <c:pt idx="69">
                  <c:v>53.945999999999998</c:v>
                </c:pt>
                <c:pt idx="70">
                  <c:v>58.57</c:v>
                </c:pt>
                <c:pt idx="71">
                  <c:v>64.150000000000006</c:v>
                </c:pt>
                <c:pt idx="72">
                  <c:v>118.616</c:v>
                </c:pt>
                <c:pt idx="73">
                  <c:v>34.582000000000001</c:v>
                </c:pt>
                <c:pt idx="74">
                  <c:v>55.661999999999999</c:v>
                </c:pt>
                <c:pt idx="75">
                  <c:v>82.242000000000004</c:v>
                </c:pt>
                <c:pt idx="76">
                  <c:v>121.71</c:v>
                </c:pt>
                <c:pt idx="77">
                  <c:v>50.738</c:v>
                </c:pt>
                <c:pt idx="78">
                  <c:v>40.99</c:v>
                </c:pt>
                <c:pt idx="79">
                  <c:v>54.497999999999998</c:v>
                </c:pt>
                <c:pt idx="80">
                  <c:v>71.611000000000004</c:v>
                </c:pt>
                <c:pt idx="81">
                  <c:v>57.381999999999998</c:v>
                </c:pt>
                <c:pt idx="82">
                  <c:v>56.749000000000002</c:v>
                </c:pt>
                <c:pt idx="83">
                  <c:v>56.865000000000002</c:v>
                </c:pt>
                <c:pt idx="84">
                  <c:v>36.167000000000002</c:v>
                </c:pt>
                <c:pt idx="85">
                  <c:v>115.643</c:v>
                </c:pt>
                <c:pt idx="86">
                  <c:v>70.22</c:v>
                </c:pt>
                <c:pt idx="87">
                  <c:v>36.491</c:v>
                </c:pt>
                <c:pt idx="88">
                  <c:v>45.317</c:v>
                </c:pt>
                <c:pt idx="89">
                  <c:v>36.069000000000003</c:v>
                </c:pt>
                <c:pt idx="90">
                  <c:v>125.39</c:v>
                </c:pt>
                <c:pt idx="91">
                  <c:v>37.015999999999998</c:v>
                </c:pt>
                <c:pt idx="92">
                  <c:v>48.18</c:v>
                </c:pt>
                <c:pt idx="93">
                  <c:v>37.222000000000001</c:v>
                </c:pt>
                <c:pt idx="94">
                  <c:v>43.173000000000002</c:v>
                </c:pt>
                <c:pt idx="95">
                  <c:v>91.207999999999998</c:v>
                </c:pt>
                <c:pt idx="96">
                  <c:v>55.259</c:v>
                </c:pt>
                <c:pt idx="97">
                  <c:v>43.234000000000002</c:v>
                </c:pt>
                <c:pt idx="98">
                  <c:v>34.659999999999997</c:v>
                </c:pt>
                <c:pt idx="99">
                  <c:v>106.506</c:v>
                </c:pt>
                <c:pt idx="100">
                  <c:v>31.963999999999999</c:v>
                </c:pt>
                <c:pt idx="101">
                  <c:v>31.568000000000001</c:v>
                </c:pt>
                <c:pt idx="102">
                  <c:v>99.703000000000003</c:v>
                </c:pt>
                <c:pt idx="103">
                  <c:v>46.564</c:v>
                </c:pt>
                <c:pt idx="104">
                  <c:v>33.265999999999998</c:v>
                </c:pt>
                <c:pt idx="105">
                  <c:v>31.469000000000001</c:v>
                </c:pt>
                <c:pt idx="106">
                  <c:v>42.173000000000002</c:v>
                </c:pt>
                <c:pt idx="107">
                  <c:v>35.731999999999999</c:v>
                </c:pt>
                <c:pt idx="108">
                  <c:v>74.179000000000002</c:v>
                </c:pt>
                <c:pt idx="109">
                  <c:v>61.030999999999999</c:v>
                </c:pt>
                <c:pt idx="110">
                  <c:v>45.182000000000002</c:v>
                </c:pt>
                <c:pt idx="111">
                  <c:v>36.713000000000001</c:v>
                </c:pt>
                <c:pt idx="112">
                  <c:v>42.341999999999999</c:v>
                </c:pt>
                <c:pt idx="113">
                  <c:v>59.795999999999999</c:v>
                </c:pt>
                <c:pt idx="114">
                  <c:v>59.981000000000002</c:v>
                </c:pt>
                <c:pt idx="115">
                  <c:v>40.228000000000002</c:v>
                </c:pt>
                <c:pt idx="116">
                  <c:v>81.537999999999997</c:v>
                </c:pt>
                <c:pt idx="117">
                  <c:v>41.335999999999999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B6-4E73-B9B9-AB4C46AE5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68752"/>
        <c:axId val="194570192"/>
      </c:scatterChart>
      <c:valAx>
        <c:axId val="19456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70192"/>
        <c:crosses val="autoZero"/>
        <c:crossBetween val="midCat"/>
      </c:valAx>
      <c:valAx>
        <c:axId val="19457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68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8</xdr:row>
      <xdr:rowOff>134470</xdr:rowOff>
    </xdr:from>
    <xdr:to>
      <xdr:col>24</xdr:col>
      <xdr:colOff>394447</xdr:colOff>
      <xdr:row>39</xdr:row>
      <xdr:rowOff>35857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34426BE-2331-5355-0631-AB50942C6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9"/>
  <sheetViews>
    <sheetView tabSelected="1" zoomScale="85" zoomScaleNormal="85" workbookViewId="0">
      <selection activeCell="W4" sqref="W4"/>
    </sheetView>
  </sheetViews>
  <sheetFormatPr defaultRowHeight="14.4" x14ac:dyDescent="0.3"/>
  <cols>
    <col min="21" max="21" width="12.44140625" bestFit="1" customWidth="1"/>
    <col min="22" max="22" width="11.88671875" bestFit="1" customWidth="1"/>
    <col min="23" max="23" width="14" bestFit="1" customWidth="1"/>
    <col min="24" max="24" width="13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152</v>
      </c>
      <c r="U1" t="s">
        <v>153</v>
      </c>
      <c r="V1" t="s">
        <v>154</v>
      </c>
      <c r="W1" t="s">
        <v>155</v>
      </c>
      <c r="X1" t="s">
        <v>156</v>
      </c>
    </row>
    <row r="2" spans="1:24" x14ac:dyDescent="0.3">
      <c r="A2">
        <v>1</v>
      </c>
      <c r="B2">
        <v>1</v>
      </c>
      <c r="C2">
        <v>1773051047</v>
      </c>
      <c r="D2">
        <v>1773051078.549</v>
      </c>
      <c r="E2">
        <v>31.5489999999999</v>
      </c>
      <c r="F2">
        <v>1773051047</v>
      </c>
      <c r="G2">
        <v>1773051087</v>
      </c>
      <c r="H2">
        <v>39.847000000000001</v>
      </c>
      <c r="I2">
        <v>-8.298</v>
      </c>
      <c r="J2">
        <v>8.298</v>
      </c>
      <c r="K2">
        <v>23.244999719872201</v>
      </c>
      <c r="L2">
        <v>-8.4509999752044607</v>
      </c>
      <c r="M2">
        <v>8.4509999752044607</v>
      </c>
      <c r="N2" s="2">
        <v>4.7663601219995298E-7</v>
      </c>
      <c r="O2" s="3">
        <v>46090.424155092594</v>
      </c>
      <c r="P2" s="3">
        <v>46090.424520243054</v>
      </c>
      <c r="Q2" s="1" t="s">
        <v>18</v>
      </c>
      <c r="R2" s="1" t="s">
        <v>19</v>
      </c>
      <c r="T2">
        <f>H2-E2</f>
        <v>8.2980000000001013</v>
      </c>
      <c r="U2">
        <f>AVERAGE(T2:T119)</f>
        <v>-2.8422655367230552</v>
      </c>
      <c r="V2">
        <f>MEDIAN(T2:T119)</f>
        <v>-1.4208333333332508</v>
      </c>
      <c r="W2">
        <f>COUNTIF(T2:T119,"&lt;0")/COUNT(T2:T119)</f>
        <v>0.52542372881355937</v>
      </c>
      <c r="X2">
        <f>COUNTIF(T2:T119,"&gt;0")/COUNT(T2:T119)</f>
        <v>0.47457627118644069</v>
      </c>
    </row>
    <row r="3" spans="1:24" x14ac:dyDescent="0.3">
      <c r="A3">
        <v>2</v>
      </c>
      <c r="B3">
        <v>2</v>
      </c>
      <c r="C3">
        <v>1773051047</v>
      </c>
      <c r="D3">
        <v>1773051108.02266</v>
      </c>
      <c r="E3">
        <v>61.022666666666602</v>
      </c>
      <c r="F3">
        <v>1773051047</v>
      </c>
      <c r="G3">
        <v>1773051085</v>
      </c>
      <c r="H3">
        <v>37.893000000000001</v>
      </c>
      <c r="I3">
        <v>23.129666666666601</v>
      </c>
      <c r="J3">
        <v>23.129666666666601</v>
      </c>
      <c r="K3">
        <v>46.766437402905403</v>
      </c>
      <c r="L3">
        <v>23.022666692733701</v>
      </c>
      <c r="M3">
        <v>23.022666692733701</v>
      </c>
      <c r="N3" s="2">
        <v>1.2984773387542601E-6</v>
      </c>
      <c r="O3" s="3">
        <v>46090.424155092594</v>
      </c>
      <c r="P3" s="3">
        <v>46090.424861377316</v>
      </c>
      <c r="Q3" s="1" t="s">
        <v>18</v>
      </c>
      <c r="R3" s="1" t="s">
        <v>20</v>
      </c>
      <c r="T3">
        <f t="shared" ref="T3:T66" si="0">H3-E3</f>
        <v>-23.129666666666601</v>
      </c>
    </row>
    <row r="4" spans="1:24" x14ac:dyDescent="0.3">
      <c r="A4">
        <v>3</v>
      </c>
      <c r="B4">
        <v>3</v>
      </c>
      <c r="C4">
        <v>1773051047</v>
      </c>
      <c r="D4">
        <v>1773051151.1653299</v>
      </c>
      <c r="E4">
        <v>104.165333333333</v>
      </c>
      <c r="F4">
        <v>1773051047</v>
      </c>
      <c r="G4">
        <v>1773051122</v>
      </c>
      <c r="H4">
        <v>75.8</v>
      </c>
      <c r="I4">
        <v>28.3653333333333</v>
      </c>
      <c r="J4">
        <v>28.3653333333333</v>
      </c>
      <c r="K4">
        <v>31.523108154163001</v>
      </c>
      <c r="L4">
        <v>29.165333271026601</v>
      </c>
      <c r="M4">
        <v>29.165333271026601</v>
      </c>
      <c r="N4" s="2">
        <v>1.64492341305164E-6</v>
      </c>
      <c r="O4" s="3">
        <v>46090.424155092594</v>
      </c>
      <c r="P4" s="3">
        <v>46090.425360706016</v>
      </c>
      <c r="Q4" s="1" t="s">
        <v>18</v>
      </c>
      <c r="R4" s="1" t="s">
        <v>21</v>
      </c>
      <c r="T4">
        <f t="shared" si="0"/>
        <v>-28.365333333332998</v>
      </c>
    </row>
    <row r="5" spans="1:24" x14ac:dyDescent="0.3">
      <c r="A5">
        <v>4</v>
      </c>
      <c r="B5">
        <v>4</v>
      </c>
      <c r="C5">
        <v>1773051047</v>
      </c>
      <c r="D5">
        <v>1773051142.00966</v>
      </c>
      <c r="E5">
        <v>95.009666666666604</v>
      </c>
      <c r="F5">
        <v>1773051047</v>
      </c>
      <c r="G5">
        <v>1773051112</v>
      </c>
      <c r="H5">
        <v>65.260000000000005</v>
      </c>
      <c r="I5">
        <v>29.749666666666599</v>
      </c>
      <c r="J5">
        <v>29.749666666666599</v>
      </c>
      <c r="K5">
        <v>37.124513060279597</v>
      </c>
      <c r="L5">
        <v>30.009666681289598</v>
      </c>
      <c r="M5">
        <v>30.009666681289598</v>
      </c>
      <c r="N5" s="2">
        <v>1.6925437864831401E-6</v>
      </c>
      <c r="O5" s="3">
        <v>46090.424155092594</v>
      </c>
      <c r="P5" s="3">
        <v>46090.425254745373</v>
      </c>
      <c r="Q5" s="1" t="s">
        <v>18</v>
      </c>
      <c r="R5" s="1" t="s">
        <v>22</v>
      </c>
      <c r="T5">
        <f t="shared" si="0"/>
        <v>-29.749666666666599</v>
      </c>
    </row>
    <row r="6" spans="1:24" x14ac:dyDescent="0.3">
      <c r="A6">
        <v>5</v>
      </c>
      <c r="B6">
        <v>1</v>
      </c>
      <c r="C6">
        <v>1773051078.549</v>
      </c>
      <c r="D6">
        <v>1773051145.13533</v>
      </c>
      <c r="E6">
        <v>66.5863333333333</v>
      </c>
      <c r="F6">
        <v>1773051085</v>
      </c>
      <c r="G6">
        <v>1773051138</v>
      </c>
      <c r="H6">
        <v>52.973999999999997</v>
      </c>
      <c r="I6">
        <v>13.6123333333333</v>
      </c>
      <c r="J6">
        <v>13.6123333333333</v>
      </c>
      <c r="K6">
        <v>22.770651358728198</v>
      </c>
      <c r="L6">
        <v>7.1353332996368399</v>
      </c>
      <c r="M6">
        <v>7.1353332996368399</v>
      </c>
      <c r="N6" s="2">
        <v>4.02432458509236E-7</v>
      </c>
      <c r="O6" s="3">
        <v>46090.424520243054</v>
      </c>
      <c r="P6" s="3">
        <v>46090.425290914354</v>
      </c>
      <c r="Q6" s="1" t="s">
        <v>20</v>
      </c>
      <c r="R6" s="1" t="s">
        <v>23</v>
      </c>
      <c r="T6">
        <f t="shared" si="0"/>
        <v>-13.612333333333304</v>
      </c>
    </row>
    <row r="7" spans="1:24" x14ac:dyDescent="0.3">
      <c r="A7">
        <v>6</v>
      </c>
      <c r="B7">
        <v>2</v>
      </c>
      <c r="C7">
        <v>1773051108.02266</v>
      </c>
      <c r="D7">
        <v>1773051149.9026599</v>
      </c>
      <c r="E7">
        <v>41.879999999999903</v>
      </c>
      <c r="F7">
        <v>1773051086</v>
      </c>
      <c r="G7">
        <v>1773051127</v>
      </c>
      <c r="H7">
        <v>40.587000000000003</v>
      </c>
      <c r="I7">
        <v>1.2929999999999899</v>
      </c>
      <c r="J7">
        <v>1.2929999999999899</v>
      </c>
      <c r="K7">
        <v>3.1357997744552102</v>
      </c>
      <c r="L7">
        <v>22.902666807174601</v>
      </c>
      <c r="M7">
        <v>22.902666807174601</v>
      </c>
      <c r="N7" s="2">
        <v>1.2917093201936E-6</v>
      </c>
      <c r="O7" s="3">
        <v>46090.424861377316</v>
      </c>
      <c r="P7" s="3">
        <v>46090.425346099539</v>
      </c>
      <c r="Q7" s="1" t="s">
        <v>24</v>
      </c>
      <c r="R7" s="1" t="s">
        <v>25</v>
      </c>
      <c r="T7">
        <f t="shared" si="0"/>
        <v>-1.2929999999998998</v>
      </c>
    </row>
    <row r="8" spans="1:24" x14ac:dyDescent="0.3">
      <c r="A8">
        <v>7</v>
      </c>
      <c r="B8">
        <v>4</v>
      </c>
      <c r="C8">
        <v>1773051142.00966</v>
      </c>
      <c r="D8">
        <v>1773051177.87233</v>
      </c>
      <c r="E8">
        <v>35.862666666666598</v>
      </c>
      <c r="F8">
        <v>1773051112</v>
      </c>
      <c r="G8">
        <v>1773051139</v>
      </c>
      <c r="H8">
        <v>27.202999999999999</v>
      </c>
      <c r="I8">
        <v>8.65966666666667</v>
      </c>
      <c r="J8">
        <v>8.65966666666667</v>
      </c>
      <c r="K8">
        <v>27.4623804817201</v>
      </c>
      <c r="L8">
        <v>38.872333288192699</v>
      </c>
      <c r="M8">
        <v>38.872333288192699</v>
      </c>
      <c r="N8" s="2">
        <v>2.1923977265539299E-6</v>
      </c>
      <c r="O8" s="3">
        <v>46090.425254745373</v>
      </c>
      <c r="P8" s="3">
        <v>46090.425669814817</v>
      </c>
      <c r="Q8" s="1" t="s">
        <v>22</v>
      </c>
      <c r="R8" s="1" t="s">
        <v>26</v>
      </c>
      <c r="T8">
        <f t="shared" si="0"/>
        <v>-8.6596666666665989</v>
      </c>
    </row>
    <row r="9" spans="1:24" x14ac:dyDescent="0.3">
      <c r="A9">
        <v>8</v>
      </c>
      <c r="B9">
        <v>1</v>
      </c>
      <c r="C9">
        <v>1773051145.13533</v>
      </c>
      <c r="D9">
        <v>1773051254.9123299</v>
      </c>
      <c r="E9">
        <v>109.777</v>
      </c>
      <c r="F9">
        <v>1773051122</v>
      </c>
      <c r="G9">
        <v>1773051157</v>
      </c>
      <c r="H9">
        <v>34.738999999999997</v>
      </c>
      <c r="I9">
        <v>75.037999999999997</v>
      </c>
      <c r="J9">
        <v>75.037999999999997</v>
      </c>
      <c r="K9">
        <v>103.847324863682</v>
      </c>
      <c r="L9">
        <v>97.912333250045705</v>
      </c>
      <c r="M9">
        <v>97.912333250045705</v>
      </c>
      <c r="N9" s="2">
        <v>5.5222507348423597E-6</v>
      </c>
      <c r="O9" s="3">
        <v>46090.425290914354</v>
      </c>
      <c r="P9" s="3">
        <v>46090.426561481479</v>
      </c>
      <c r="Q9" s="1" t="s">
        <v>21</v>
      </c>
      <c r="R9" s="1" t="s">
        <v>27</v>
      </c>
      <c r="T9">
        <f t="shared" si="0"/>
        <v>-75.038000000000011</v>
      </c>
    </row>
    <row r="10" spans="1:24" x14ac:dyDescent="0.3">
      <c r="A10">
        <v>9</v>
      </c>
      <c r="B10">
        <v>2</v>
      </c>
      <c r="C10">
        <v>1773051149.9026599</v>
      </c>
      <c r="D10">
        <v>1773051285.9556601</v>
      </c>
      <c r="E10">
        <v>136.053</v>
      </c>
      <c r="F10">
        <v>1773051127</v>
      </c>
      <c r="G10">
        <v>1773051158</v>
      </c>
      <c r="H10">
        <v>30.835000000000001</v>
      </c>
      <c r="I10">
        <v>105.21799999999899</v>
      </c>
      <c r="J10">
        <v>105.21799999999899</v>
      </c>
      <c r="K10">
        <v>126.09414697282</v>
      </c>
      <c r="L10">
        <v>127.95566678047101</v>
      </c>
      <c r="M10">
        <v>127.95566678047101</v>
      </c>
      <c r="N10" s="2">
        <v>7.2166931893675103E-6</v>
      </c>
      <c r="O10" s="3">
        <v>46090.425346099539</v>
      </c>
      <c r="P10" s="3">
        <v>46090.426920787038</v>
      </c>
      <c r="Q10" s="1" t="s">
        <v>25</v>
      </c>
      <c r="R10" s="1" t="s">
        <v>28</v>
      </c>
      <c r="T10">
        <f t="shared" si="0"/>
        <v>-105.21799999999999</v>
      </c>
    </row>
    <row r="11" spans="1:24" x14ac:dyDescent="0.3">
      <c r="A11">
        <v>10</v>
      </c>
      <c r="B11">
        <v>3</v>
      </c>
      <c r="C11">
        <v>1773051151.1653299</v>
      </c>
      <c r="D11">
        <v>1773051215.28666</v>
      </c>
      <c r="E11">
        <v>64.121333333333297</v>
      </c>
      <c r="F11">
        <v>1773051138</v>
      </c>
      <c r="G11">
        <v>1773051177</v>
      </c>
      <c r="H11">
        <v>39.046999999999997</v>
      </c>
      <c r="I11">
        <v>25.0743333333333</v>
      </c>
      <c r="J11">
        <v>25.0743333333333</v>
      </c>
      <c r="K11">
        <v>48.608584675530203</v>
      </c>
      <c r="L11">
        <v>38.286666631698601</v>
      </c>
      <c r="M11">
        <v>38.286666631698601</v>
      </c>
      <c r="N11" s="2">
        <v>2.1593661093925602E-6</v>
      </c>
      <c r="O11" s="3">
        <v>46090.425360706016</v>
      </c>
      <c r="P11" s="3">
        <v>46090.426102858793</v>
      </c>
      <c r="Q11" s="1" t="s">
        <v>23</v>
      </c>
      <c r="R11" s="1" t="s">
        <v>29</v>
      </c>
      <c r="T11">
        <f t="shared" si="0"/>
        <v>-25.0743333333333</v>
      </c>
    </row>
    <row r="12" spans="1:24" x14ac:dyDescent="0.3">
      <c r="A12">
        <v>11</v>
      </c>
      <c r="B12">
        <v>4</v>
      </c>
      <c r="C12">
        <v>1773051177.87233</v>
      </c>
      <c r="D12">
        <v>1773051214.3573301</v>
      </c>
      <c r="E12">
        <v>36.484999999999999</v>
      </c>
      <c r="F12">
        <v>1773051138</v>
      </c>
      <c r="G12">
        <v>1773051183</v>
      </c>
      <c r="H12">
        <v>44.473999999999997</v>
      </c>
      <c r="I12">
        <v>-7.9889999999999901</v>
      </c>
      <c r="J12">
        <v>7.9889999999999901</v>
      </c>
      <c r="K12">
        <v>19.735915710421299</v>
      </c>
      <c r="L12">
        <v>31.3573331832885</v>
      </c>
      <c r="M12">
        <v>31.3573331832885</v>
      </c>
      <c r="N12" s="2">
        <v>1.76855204218902E-6</v>
      </c>
      <c r="O12" s="3">
        <v>46090.425669814817</v>
      </c>
      <c r="P12" s="3">
        <v>46090.426092094909</v>
      </c>
      <c r="Q12" s="1" t="s">
        <v>23</v>
      </c>
      <c r="R12" s="1" t="s">
        <v>30</v>
      </c>
      <c r="T12">
        <f t="shared" si="0"/>
        <v>7.9889999999999972</v>
      </c>
    </row>
    <row r="13" spans="1:24" x14ac:dyDescent="0.3">
      <c r="A13">
        <v>12</v>
      </c>
      <c r="B13">
        <v>4</v>
      </c>
      <c r="C13">
        <v>1773051214.3573301</v>
      </c>
      <c r="D13">
        <v>1773051294.30933</v>
      </c>
      <c r="E13">
        <v>79.951999999999998</v>
      </c>
      <c r="F13">
        <v>1773051157</v>
      </c>
      <c r="G13">
        <v>1773051185</v>
      </c>
      <c r="H13">
        <v>28.206</v>
      </c>
      <c r="I13">
        <v>51.745999999999903</v>
      </c>
      <c r="J13">
        <v>51.745999999999903</v>
      </c>
      <c r="K13">
        <v>95.685940938256905</v>
      </c>
      <c r="L13">
        <v>109.309333086013</v>
      </c>
      <c r="M13">
        <v>109.309333086013</v>
      </c>
      <c r="N13" s="2">
        <v>6.1650408426607899E-6</v>
      </c>
      <c r="O13" s="3">
        <v>46090.426092094909</v>
      </c>
      <c r="P13" s="3">
        <v>46090.427017465277</v>
      </c>
      <c r="Q13" s="1" t="s">
        <v>27</v>
      </c>
      <c r="R13" s="1" t="s">
        <v>31</v>
      </c>
      <c r="T13">
        <f t="shared" si="0"/>
        <v>-51.745999999999995</v>
      </c>
    </row>
    <row r="14" spans="1:24" x14ac:dyDescent="0.3">
      <c r="A14">
        <v>13</v>
      </c>
      <c r="B14">
        <v>3</v>
      </c>
      <c r="C14">
        <v>1773051215.28666</v>
      </c>
      <c r="D14">
        <v>1773051258.7383299</v>
      </c>
      <c r="E14">
        <v>43.451666666666597</v>
      </c>
      <c r="F14">
        <v>1773051158</v>
      </c>
      <c r="G14">
        <v>1773051160</v>
      </c>
      <c r="H14">
        <v>2.5779999999999998</v>
      </c>
      <c r="I14">
        <v>40.873666666666601</v>
      </c>
      <c r="J14">
        <v>40.873666666666601</v>
      </c>
      <c r="K14">
        <v>177.59705697050401</v>
      </c>
      <c r="L14">
        <v>98.738333225250202</v>
      </c>
      <c r="M14">
        <v>98.738333225250202</v>
      </c>
      <c r="N14" s="2">
        <v>5.5688370817208497E-6</v>
      </c>
      <c r="O14" s="3">
        <v>46090.426102858793</v>
      </c>
      <c r="P14" s="3">
        <v>46090.426605763889</v>
      </c>
      <c r="Q14" s="1" t="s">
        <v>28</v>
      </c>
      <c r="R14" s="1" t="s">
        <v>32</v>
      </c>
      <c r="T14">
        <f t="shared" si="0"/>
        <v>-40.873666666666594</v>
      </c>
    </row>
    <row r="15" spans="1:24" x14ac:dyDescent="0.3">
      <c r="A15">
        <v>14</v>
      </c>
      <c r="B15">
        <v>1</v>
      </c>
      <c r="C15">
        <v>1773051254.9123299</v>
      </c>
      <c r="D15">
        <v>1773051320.4229901</v>
      </c>
      <c r="E15">
        <v>65.510666666666594</v>
      </c>
      <c r="F15">
        <v>1773051160</v>
      </c>
      <c r="G15">
        <v>1773051198</v>
      </c>
      <c r="H15">
        <v>38.183</v>
      </c>
      <c r="I15">
        <v>27.327666666666602</v>
      </c>
      <c r="J15">
        <v>27.327666666666602</v>
      </c>
      <c r="K15">
        <v>52.708458568668597</v>
      </c>
      <c r="L15">
        <v>122.422999858856</v>
      </c>
      <c r="M15">
        <v>122.422999858856</v>
      </c>
      <c r="N15" s="2">
        <v>6.9046509074587802E-6</v>
      </c>
      <c r="O15" s="3">
        <v>46090.426561481479</v>
      </c>
      <c r="P15" s="3">
        <v>46090.427319710645</v>
      </c>
      <c r="Q15" s="1" t="s">
        <v>32</v>
      </c>
      <c r="R15" s="1" t="s">
        <v>33</v>
      </c>
      <c r="T15">
        <f t="shared" si="0"/>
        <v>-27.327666666666595</v>
      </c>
    </row>
    <row r="16" spans="1:24" x14ac:dyDescent="0.3">
      <c r="A16">
        <v>15</v>
      </c>
      <c r="B16">
        <v>3</v>
      </c>
      <c r="C16">
        <v>1773051258.7383299</v>
      </c>
      <c r="D16">
        <v>1773051284.96433</v>
      </c>
      <c r="E16">
        <v>26.225999999999999</v>
      </c>
      <c r="F16">
        <v>1773051176</v>
      </c>
      <c r="G16">
        <v>1773051206</v>
      </c>
      <c r="H16">
        <v>29.25</v>
      </c>
      <c r="I16">
        <v>-3.024</v>
      </c>
      <c r="J16">
        <v>3.024</v>
      </c>
      <c r="K16">
        <v>10.902011680726799</v>
      </c>
      <c r="L16">
        <v>78.964333295822101</v>
      </c>
      <c r="M16">
        <v>78.964333295822101</v>
      </c>
      <c r="N16" s="2">
        <v>4.4535843787384898E-6</v>
      </c>
      <c r="O16" s="3">
        <v>46090.426605763889</v>
      </c>
      <c r="P16" s="3">
        <v>46090.426909305555</v>
      </c>
      <c r="Q16" s="1" t="s">
        <v>34</v>
      </c>
      <c r="R16" s="1" t="s">
        <v>35</v>
      </c>
      <c r="T16">
        <f t="shared" si="0"/>
        <v>3.0240000000000009</v>
      </c>
    </row>
    <row r="17" spans="1:20" x14ac:dyDescent="0.3">
      <c r="A17">
        <v>16</v>
      </c>
      <c r="B17">
        <v>3</v>
      </c>
      <c r="C17">
        <v>1773051284.96433</v>
      </c>
      <c r="D17">
        <v>1773051355.0243299</v>
      </c>
      <c r="E17">
        <v>70.06</v>
      </c>
      <c r="F17">
        <v>1773051183</v>
      </c>
      <c r="G17">
        <v>1773051218</v>
      </c>
      <c r="H17">
        <v>34.893000000000001</v>
      </c>
      <c r="I17">
        <v>35.167000000000002</v>
      </c>
      <c r="J17">
        <v>35.167000000000002</v>
      </c>
      <c r="K17">
        <v>67.014758987356203</v>
      </c>
      <c r="L17">
        <v>137.024333238601</v>
      </c>
      <c r="M17">
        <v>137.024333238601</v>
      </c>
      <c r="N17" s="2">
        <v>7.7281652415225503E-6</v>
      </c>
      <c r="O17" s="3">
        <v>46090.426909305555</v>
      </c>
      <c r="P17" s="3">
        <v>46090.427720185187</v>
      </c>
      <c r="Q17" s="1" t="s">
        <v>30</v>
      </c>
      <c r="R17" s="1" t="s">
        <v>36</v>
      </c>
      <c r="T17">
        <f t="shared" si="0"/>
        <v>-35.167000000000002</v>
      </c>
    </row>
    <row r="18" spans="1:20" x14ac:dyDescent="0.3">
      <c r="A18">
        <v>17</v>
      </c>
      <c r="B18">
        <v>2</v>
      </c>
      <c r="C18">
        <v>1773051285.9556601</v>
      </c>
      <c r="D18">
        <v>1773051316.97033</v>
      </c>
      <c r="E18">
        <v>31.014666666666599</v>
      </c>
      <c r="F18">
        <v>1773051185</v>
      </c>
      <c r="G18">
        <v>1773051219</v>
      </c>
      <c r="H18">
        <v>33.551000000000002</v>
      </c>
      <c r="I18">
        <v>-2.5363333333333302</v>
      </c>
      <c r="J18">
        <v>2.5363333333333302</v>
      </c>
      <c r="K18">
        <v>7.8566007733728496</v>
      </c>
      <c r="L18">
        <v>97.970333337783799</v>
      </c>
      <c r="M18">
        <v>97.970333337783799</v>
      </c>
      <c r="N18" s="2">
        <v>5.5255217436049497E-6</v>
      </c>
      <c r="O18" s="3">
        <v>46090.426920787038</v>
      </c>
      <c r="P18" s="3">
        <v>46090.427279745367</v>
      </c>
      <c r="Q18" s="1" t="s">
        <v>31</v>
      </c>
      <c r="R18" s="1" t="s">
        <v>37</v>
      </c>
      <c r="T18">
        <f t="shared" si="0"/>
        <v>2.5363333333334026</v>
      </c>
    </row>
    <row r="19" spans="1:20" x14ac:dyDescent="0.3">
      <c r="A19">
        <v>18</v>
      </c>
      <c r="B19">
        <v>4</v>
      </c>
      <c r="C19">
        <v>1773051294.30933</v>
      </c>
      <c r="D19">
        <v>1773051339.99933</v>
      </c>
      <c r="E19">
        <v>45.69</v>
      </c>
      <c r="F19">
        <v>1773051198</v>
      </c>
      <c r="G19">
        <v>1773051232</v>
      </c>
      <c r="H19">
        <v>33.956000000000003</v>
      </c>
      <c r="I19">
        <v>11.733999999999901</v>
      </c>
      <c r="J19">
        <v>11.733999999999901</v>
      </c>
      <c r="K19">
        <v>29.465384325640901</v>
      </c>
      <c r="L19">
        <v>107.999333143234</v>
      </c>
      <c r="M19">
        <v>107.999333143234</v>
      </c>
      <c r="N19" s="2">
        <v>6.0911567531078404E-6</v>
      </c>
      <c r="O19" s="3">
        <v>46090.427017465277</v>
      </c>
      <c r="P19" s="3">
        <v>46090.427546284722</v>
      </c>
      <c r="Q19" s="1" t="s">
        <v>33</v>
      </c>
      <c r="R19" s="1" t="s">
        <v>38</v>
      </c>
      <c r="T19">
        <f t="shared" si="0"/>
        <v>-11.733999999999995</v>
      </c>
    </row>
    <row r="20" spans="1:20" x14ac:dyDescent="0.3">
      <c r="A20">
        <v>19</v>
      </c>
      <c r="B20">
        <v>2</v>
      </c>
      <c r="C20">
        <v>1773051316.97033</v>
      </c>
      <c r="D20">
        <v>1773051391.55933</v>
      </c>
      <c r="E20">
        <v>74.588999999999999</v>
      </c>
      <c r="F20">
        <v>1773051206</v>
      </c>
      <c r="G20">
        <v>1773051326</v>
      </c>
      <c r="H20">
        <v>120.52</v>
      </c>
      <c r="I20">
        <v>-45.930999999999898</v>
      </c>
      <c r="J20">
        <v>45.930999999999898</v>
      </c>
      <c r="K20">
        <v>47.082400094306202</v>
      </c>
      <c r="L20">
        <v>65.559333324432302</v>
      </c>
      <c r="M20">
        <v>65.559333324432302</v>
      </c>
      <c r="N20" s="2">
        <v>3.6975428263710702E-6</v>
      </c>
      <c r="O20" s="3">
        <v>46090.427279745367</v>
      </c>
      <c r="P20" s="3">
        <v>46090.428143043981</v>
      </c>
      <c r="Q20" s="1" t="s">
        <v>35</v>
      </c>
      <c r="R20" s="1" t="s">
        <v>39</v>
      </c>
      <c r="T20">
        <f t="shared" si="0"/>
        <v>45.930999999999997</v>
      </c>
    </row>
    <row r="21" spans="1:20" x14ac:dyDescent="0.3">
      <c r="A21">
        <v>20</v>
      </c>
      <c r="B21">
        <v>1</v>
      </c>
      <c r="C21">
        <v>1773051320.4229901</v>
      </c>
      <c r="D21">
        <v>1773051375.28</v>
      </c>
      <c r="E21">
        <v>54.856999999999999</v>
      </c>
      <c r="F21">
        <v>1773051218</v>
      </c>
      <c r="G21">
        <v>1773051248</v>
      </c>
      <c r="H21">
        <v>30.582999999999998</v>
      </c>
      <c r="I21">
        <v>24.274000000000001</v>
      </c>
      <c r="J21">
        <v>24.274000000000001</v>
      </c>
      <c r="K21">
        <v>56.821161048689099</v>
      </c>
      <c r="L21">
        <v>127.279999971389</v>
      </c>
      <c r="M21">
        <v>127.279999971389</v>
      </c>
      <c r="N21" s="2">
        <v>7.1785852522035001E-6</v>
      </c>
      <c r="O21" s="3">
        <v>46090.427319710645</v>
      </c>
      <c r="P21" s="3">
        <v>46090.427954629631</v>
      </c>
      <c r="Q21" s="1" t="s">
        <v>36</v>
      </c>
      <c r="R21" s="1" t="s">
        <v>40</v>
      </c>
      <c r="T21">
        <f t="shared" si="0"/>
        <v>-24.274000000000001</v>
      </c>
    </row>
    <row r="22" spans="1:20" x14ac:dyDescent="0.3">
      <c r="A22">
        <v>21</v>
      </c>
      <c r="B22">
        <v>4</v>
      </c>
      <c r="C22">
        <v>1773051339.99933</v>
      </c>
      <c r="D22">
        <v>1773051385.5219901</v>
      </c>
      <c r="E22">
        <v>45.522666666666602</v>
      </c>
      <c r="F22">
        <v>1773051219</v>
      </c>
      <c r="G22">
        <v>1773051255</v>
      </c>
      <c r="H22">
        <v>35.950000000000003</v>
      </c>
      <c r="I22">
        <v>9.5726666666666702</v>
      </c>
      <c r="J22">
        <v>9.5726666666666702</v>
      </c>
      <c r="K22">
        <v>23.499087628570699</v>
      </c>
      <c r="L22">
        <v>130.52199983596799</v>
      </c>
      <c r="M22">
        <v>130.52199983596799</v>
      </c>
      <c r="N22" s="2">
        <v>7.3614338369379296E-6</v>
      </c>
      <c r="O22" s="3">
        <v>46090.427546284722</v>
      </c>
      <c r="P22" s="3">
        <v>46090.428073171293</v>
      </c>
      <c r="Q22" s="1" t="s">
        <v>37</v>
      </c>
      <c r="R22" s="1" t="s">
        <v>41</v>
      </c>
      <c r="T22">
        <f t="shared" si="0"/>
        <v>-9.5726666666665992</v>
      </c>
    </row>
    <row r="23" spans="1:20" x14ac:dyDescent="0.3">
      <c r="A23">
        <v>22</v>
      </c>
      <c r="B23">
        <v>3</v>
      </c>
      <c r="C23">
        <v>1773051355.0243299</v>
      </c>
      <c r="D23">
        <v>1773051399.9553299</v>
      </c>
      <c r="E23">
        <v>44.930999999999997</v>
      </c>
      <c r="F23">
        <v>1773051232</v>
      </c>
      <c r="G23">
        <v>1773051259</v>
      </c>
      <c r="H23">
        <v>26.917999999999999</v>
      </c>
      <c r="I23">
        <v>18.013000000000002</v>
      </c>
      <c r="J23">
        <v>18.013000000000002</v>
      </c>
      <c r="K23">
        <v>50.1412684936464</v>
      </c>
      <c r="L23">
        <v>140.95533323287901</v>
      </c>
      <c r="M23">
        <v>140.95533323287901</v>
      </c>
      <c r="N23" s="2">
        <v>7.9498732433428395E-6</v>
      </c>
      <c r="O23" s="3">
        <v>46090.427720185187</v>
      </c>
      <c r="P23" s="3">
        <v>46090.42824021991</v>
      </c>
      <c r="Q23" s="1" t="s">
        <v>38</v>
      </c>
      <c r="R23" s="1" t="s">
        <v>42</v>
      </c>
      <c r="T23">
        <f t="shared" si="0"/>
        <v>-18.012999999999998</v>
      </c>
    </row>
    <row r="24" spans="1:20" x14ac:dyDescent="0.3">
      <c r="A24">
        <v>23</v>
      </c>
      <c r="B24">
        <v>1</v>
      </c>
      <c r="C24">
        <v>1773051375.28</v>
      </c>
      <c r="D24">
        <v>1773051448.7349999</v>
      </c>
      <c r="E24">
        <v>73.454999999999998</v>
      </c>
      <c r="F24">
        <v>1773051248</v>
      </c>
      <c r="G24">
        <v>1773051329</v>
      </c>
      <c r="H24">
        <v>80.146000000000001</v>
      </c>
      <c r="I24">
        <v>-6.6909999999999998</v>
      </c>
      <c r="J24">
        <v>6.6909999999999998</v>
      </c>
      <c r="K24">
        <v>8.7121828633928207</v>
      </c>
      <c r="L24">
        <v>119.734999895095</v>
      </c>
      <c r="M24">
        <v>119.734999895095</v>
      </c>
      <c r="N24" s="2">
        <v>6.7530473536683002E-6</v>
      </c>
      <c r="O24" s="3">
        <v>46090.427954629631</v>
      </c>
      <c r="P24" s="3">
        <v>46090.428804803239</v>
      </c>
      <c r="Q24" s="1" t="s">
        <v>40</v>
      </c>
      <c r="R24" s="1" t="s">
        <v>43</v>
      </c>
      <c r="T24">
        <f t="shared" si="0"/>
        <v>6.6910000000000025</v>
      </c>
    </row>
    <row r="25" spans="1:20" x14ac:dyDescent="0.3">
      <c r="A25">
        <v>24</v>
      </c>
      <c r="B25">
        <v>4</v>
      </c>
      <c r="C25">
        <v>1773051385.5219901</v>
      </c>
      <c r="D25">
        <v>1773051463.37166</v>
      </c>
      <c r="E25">
        <v>77.849666666666593</v>
      </c>
      <c r="F25">
        <v>1773051255</v>
      </c>
      <c r="G25">
        <v>1773051348</v>
      </c>
      <c r="H25">
        <v>92.787999999999997</v>
      </c>
      <c r="I25">
        <v>-14.938333333333301</v>
      </c>
      <c r="J25">
        <v>14.938333333333301</v>
      </c>
      <c r="K25">
        <v>17.508834508988802</v>
      </c>
      <c r="L25">
        <v>115.371666431427</v>
      </c>
      <c r="M25">
        <v>115.371666431427</v>
      </c>
      <c r="N25" s="2">
        <v>6.5069555265827201E-6</v>
      </c>
      <c r="O25" s="3">
        <v>46090.428073171293</v>
      </c>
      <c r="P25" s="3">
        <v>46090.428974212962</v>
      </c>
      <c r="Q25" s="1" t="s">
        <v>41</v>
      </c>
      <c r="R25" s="1" t="s">
        <v>44</v>
      </c>
      <c r="T25">
        <f t="shared" si="0"/>
        <v>14.938333333333404</v>
      </c>
    </row>
    <row r="26" spans="1:20" x14ac:dyDescent="0.3">
      <c r="A26">
        <v>25</v>
      </c>
      <c r="B26">
        <v>2</v>
      </c>
      <c r="C26">
        <v>1773051391.55933</v>
      </c>
      <c r="D26">
        <v>1773051464.96366</v>
      </c>
      <c r="E26">
        <v>73.404333333333298</v>
      </c>
      <c r="F26">
        <v>1773051259</v>
      </c>
      <c r="G26">
        <v>1773051389</v>
      </c>
      <c r="H26">
        <v>130.32300000000001</v>
      </c>
      <c r="I26">
        <v>-56.918666666666603</v>
      </c>
      <c r="J26">
        <v>56.918666666666603</v>
      </c>
      <c r="K26">
        <v>55.877300051375798</v>
      </c>
      <c r="L26">
        <v>75.963666677474905</v>
      </c>
      <c r="M26">
        <v>75.963666677474905</v>
      </c>
      <c r="N26" s="2">
        <v>4.2843464956221597E-6</v>
      </c>
      <c r="O26" s="3">
        <v>46090.428143043981</v>
      </c>
      <c r="P26" s="3">
        <v>46090.428992638888</v>
      </c>
      <c r="Q26" s="1" t="s">
        <v>42</v>
      </c>
      <c r="R26" s="1" t="s">
        <v>45</v>
      </c>
      <c r="T26">
        <f t="shared" si="0"/>
        <v>56.918666666666709</v>
      </c>
    </row>
    <row r="27" spans="1:20" x14ac:dyDescent="0.3">
      <c r="A27">
        <v>26</v>
      </c>
      <c r="B27">
        <v>3</v>
      </c>
      <c r="C27">
        <v>1773051399.9553299</v>
      </c>
      <c r="D27">
        <v>1773051429.7289901</v>
      </c>
      <c r="E27">
        <v>29.7736666666666</v>
      </c>
      <c r="F27">
        <v>1773051326</v>
      </c>
      <c r="G27">
        <v>1773051358</v>
      </c>
      <c r="H27">
        <v>32.110999999999997</v>
      </c>
      <c r="I27">
        <v>-2.3373333333333299</v>
      </c>
      <c r="J27">
        <v>2.3373333333333299</v>
      </c>
      <c r="K27">
        <v>7.55383670699256</v>
      </c>
      <c r="L27">
        <v>71.728999853134098</v>
      </c>
      <c r="M27">
        <v>71.728999853134098</v>
      </c>
      <c r="N27" s="2">
        <v>4.0455116022776599E-6</v>
      </c>
      <c r="O27" s="3">
        <v>46090.42824021991</v>
      </c>
      <c r="P27" s="3">
        <v>46090.42858482639</v>
      </c>
      <c r="Q27" s="1" t="s">
        <v>39</v>
      </c>
      <c r="R27" s="1" t="s">
        <v>46</v>
      </c>
      <c r="T27">
        <f t="shared" si="0"/>
        <v>2.3373333333333974</v>
      </c>
    </row>
    <row r="28" spans="1:20" x14ac:dyDescent="0.3">
      <c r="A28">
        <v>27</v>
      </c>
      <c r="B28">
        <v>3</v>
      </c>
      <c r="C28">
        <v>1773051429.7289901</v>
      </c>
      <c r="D28">
        <v>1773051462.4656601</v>
      </c>
      <c r="E28">
        <v>32.736666666666601</v>
      </c>
      <c r="F28">
        <v>1773051328</v>
      </c>
      <c r="G28">
        <v>1773051359</v>
      </c>
      <c r="H28">
        <v>31.187999999999999</v>
      </c>
      <c r="I28">
        <v>1.54866666666666</v>
      </c>
      <c r="J28">
        <v>1.54866666666666</v>
      </c>
      <c r="K28">
        <v>4.8452866394818797</v>
      </c>
      <c r="L28">
        <v>103.465666532516</v>
      </c>
      <c r="M28">
        <v>103.465666532516</v>
      </c>
      <c r="N28" s="2">
        <v>5.8354577823410204E-6</v>
      </c>
      <c r="O28" s="3">
        <v>46090.42858482639</v>
      </c>
      <c r="P28" s="3">
        <v>46090.428963726852</v>
      </c>
      <c r="Q28" s="1" t="s">
        <v>47</v>
      </c>
      <c r="R28" s="1" t="s">
        <v>48</v>
      </c>
      <c r="T28">
        <f t="shared" si="0"/>
        <v>-1.5486666666666018</v>
      </c>
    </row>
    <row r="29" spans="1:20" x14ac:dyDescent="0.3">
      <c r="A29">
        <v>28</v>
      </c>
      <c r="B29">
        <v>1</v>
      </c>
      <c r="C29">
        <v>1773051448.7349999</v>
      </c>
      <c r="D29">
        <v>1773051498.43133</v>
      </c>
      <c r="E29">
        <v>49.6963333333333</v>
      </c>
      <c r="F29">
        <v>1773051347</v>
      </c>
      <c r="G29">
        <v>1773051418</v>
      </c>
      <c r="H29">
        <v>70.463999999999999</v>
      </c>
      <c r="I29">
        <v>-20.767666666666599</v>
      </c>
      <c r="J29">
        <v>20.767666666666599</v>
      </c>
      <c r="K29">
        <v>34.566592968838798</v>
      </c>
      <c r="L29">
        <v>80.431333303451495</v>
      </c>
      <c r="M29">
        <v>80.431333303451495</v>
      </c>
      <c r="N29" s="2">
        <v>4.5363225602258899E-6</v>
      </c>
      <c r="O29" s="3">
        <v>46090.428804803239</v>
      </c>
      <c r="P29" s="3">
        <v>46090.429379988425</v>
      </c>
      <c r="Q29" s="1" t="s">
        <v>49</v>
      </c>
      <c r="R29" s="1" t="s">
        <v>50</v>
      </c>
      <c r="T29">
        <f t="shared" si="0"/>
        <v>20.767666666666699</v>
      </c>
    </row>
    <row r="30" spans="1:20" x14ac:dyDescent="0.3">
      <c r="A30">
        <v>29</v>
      </c>
      <c r="B30">
        <v>3</v>
      </c>
      <c r="C30">
        <v>1773051462.4656601</v>
      </c>
      <c r="D30">
        <v>1773051566.63099</v>
      </c>
      <c r="E30">
        <v>104.165333333333</v>
      </c>
      <c r="F30">
        <v>1773051358</v>
      </c>
      <c r="G30">
        <v>1773051563</v>
      </c>
      <c r="H30">
        <v>204.852</v>
      </c>
      <c r="I30">
        <v>-100.686666666666</v>
      </c>
      <c r="J30">
        <v>100.686666666666</v>
      </c>
      <c r="K30">
        <v>65.165708072470593</v>
      </c>
      <c r="L30">
        <v>3.6309998035430899</v>
      </c>
      <c r="M30">
        <v>3.6309998035430899</v>
      </c>
      <c r="N30" s="2">
        <v>2.0478816722518301E-7</v>
      </c>
      <c r="O30" s="3">
        <v>46090.428963726852</v>
      </c>
      <c r="P30" s="3">
        <v>46090.430169340281</v>
      </c>
      <c r="Q30" s="1" t="s">
        <v>46</v>
      </c>
      <c r="R30" s="1" t="s">
        <v>51</v>
      </c>
      <c r="T30">
        <f t="shared" si="0"/>
        <v>100.68666666666701</v>
      </c>
    </row>
    <row r="31" spans="1:20" x14ac:dyDescent="0.3">
      <c r="A31">
        <v>30</v>
      </c>
      <c r="B31">
        <v>4</v>
      </c>
      <c r="C31">
        <v>1773051463.37166</v>
      </c>
      <c r="D31">
        <v>1773051496.2079899</v>
      </c>
      <c r="E31">
        <v>32.8363333333333</v>
      </c>
      <c r="F31">
        <v>1773051359</v>
      </c>
      <c r="G31">
        <v>1773051392</v>
      </c>
      <c r="H31">
        <v>32.878</v>
      </c>
      <c r="I31">
        <v>-4.1666666666671397E-2</v>
      </c>
      <c r="J31">
        <v>4.1666666666671397E-2</v>
      </c>
      <c r="K31">
        <v>0.12681150231051999</v>
      </c>
      <c r="L31">
        <v>104.207999706268</v>
      </c>
      <c r="M31">
        <v>104.207999706268</v>
      </c>
      <c r="N31" s="2">
        <v>5.8773252210360501E-6</v>
      </c>
      <c r="O31" s="3">
        <v>46090.428974212962</v>
      </c>
      <c r="P31" s="3">
        <v>46090.429354259257</v>
      </c>
      <c r="Q31" s="1" t="s">
        <v>48</v>
      </c>
      <c r="R31" s="1" t="s">
        <v>52</v>
      </c>
      <c r="T31">
        <f t="shared" si="0"/>
        <v>4.1666666666699825E-2</v>
      </c>
    </row>
    <row r="32" spans="1:20" x14ac:dyDescent="0.3">
      <c r="A32">
        <v>31</v>
      </c>
      <c r="B32">
        <v>2</v>
      </c>
      <c r="C32">
        <v>1773051464.96366</v>
      </c>
      <c r="D32">
        <v>1773051544.49733</v>
      </c>
      <c r="E32">
        <v>79.533666666666605</v>
      </c>
      <c r="F32">
        <v>1773051389</v>
      </c>
      <c r="G32">
        <v>1773051482</v>
      </c>
      <c r="H32">
        <v>92.933000000000007</v>
      </c>
      <c r="I32">
        <v>-13.399333333333299</v>
      </c>
      <c r="J32">
        <v>13.399333333333299</v>
      </c>
      <c r="K32">
        <v>15.538461538461499</v>
      </c>
      <c r="L32">
        <v>62.497333288192699</v>
      </c>
      <c r="M32">
        <v>62.497333288192699</v>
      </c>
      <c r="N32" s="2">
        <v>3.5248458841267501E-6</v>
      </c>
      <c r="O32" s="3">
        <v>46090.428992638888</v>
      </c>
      <c r="P32" s="3">
        <v>46090.429913159722</v>
      </c>
      <c r="Q32" s="1" t="s">
        <v>45</v>
      </c>
      <c r="R32" s="1" t="s">
        <v>53</v>
      </c>
      <c r="T32">
        <f t="shared" si="0"/>
        <v>13.399333333333402</v>
      </c>
    </row>
    <row r="33" spans="1:20" x14ac:dyDescent="0.3">
      <c r="A33">
        <v>32</v>
      </c>
      <c r="B33">
        <v>4</v>
      </c>
      <c r="C33">
        <v>1773051496.2079899</v>
      </c>
      <c r="D33">
        <v>1773051584.1996601</v>
      </c>
      <c r="E33">
        <v>87.991666666666603</v>
      </c>
      <c r="F33">
        <v>1773051392</v>
      </c>
      <c r="G33">
        <v>1773051473</v>
      </c>
      <c r="H33">
        <v>80.352999999999994</v>
      </c>
      <c r="I33">
        <v>7.6386666666666603</v>
      </c>
      <c r="J33">
        <v>7.6386666666666603</v>
      </c>
      <c r="K33">
        <v>9.0750325720644494</v>
      </c>
      <c r="L33">
        <v>111.19966626167199</v>
      </c>
      <c r="M33">
        <v>111.19966626167199</v>
      </c>
      <c r="N33" s="2">
        <v>6.2716545158440199E-6</v>
      </c>
      <c r="O33" s="3">
        <v>46090.429354259257</v>
      </c>
      <c r="P33" s="3">
        <v>46090.430372685187</v>
      </c>
      <c r="Q33" s="1" t="s">
        <v>52</v>
      </c>
      <c r="R33" s="1" t="s">
        <v>54</v>
      </c>
      <c r="T33">
        <f t="shared" si="0"/>
        <v>-7.6386666666666088</v>
      </c>
    </row>
    <row r="34" spans="1:20" x14ac:dyDescent="0.3">
      <c r="A34">
        <v>33</v>
      </c>
      <c r="B34">
        <v>1</v>
      </c>
      <c r="C34">
        <v>1773051498.43133</v>
      </c>
      <c r="D34">
        <v>1773051529.27966</v>
      </c>
      <c r="E34">
        <v>30.848333333333301</v>
      </c>
      <c r="F34">
        <v>1773051418</v>
      </c>
      <c r="G34">
        <v>1773051449</v>
      </c>
      <c r="H34">
        <v>30.995999999999999</v>
      </c>
      <c r="I34">
        <v>-0.147666666666669</v>
      </c>
      <c r="J34">
        <v>0.147666666666669</v>
      </c>
      <c r="K34">
        <v>0.477543078589801</v>
      </c>
      <c r="L34">
        <v>80.279666662216101</v>
      </c>
      <c r="M34">
        <v>80.279666662216101</v>
      </c>
      <c r="N34" s="2">
        <v>4.5277684914363298E-6</v>
      </c>
      <c r="O34" s="3">
        <v>46090.429379988425</v>
      </c>
      <c r="P34" s="3">
        <v>46090.42973703704</v>
      </c>
      <c r="Q34" s="1" t="s">
        <v>50</v>
      </c>
      <c r="R34" s="1" t="s">
        <v>55</v>
      </c>
      <c r="T34">
        <f t="shared" si="0"/>
        <v>0.14766666666669792</v>
      </c>
    </row>
    <row r="35" spans="1:20" x14ac:dyDescent="0.3">
      <c r="A35">
        <v>34</v>
      </c>
      <c r="B35">
        <v>1</v>
      </c>
      <c r="C35">
        <v>1773051529.27966</v>
      </c>
      <c r="D35">
        <v>1773051573.448</v>
      </c>
      <c r="E35">
        <v>44.168333333333301</v>
      </c>
      <c r="F35">
        <v>1773051449</v>
      </c>
      <c r="G35">
        <v>1773051483</v>
      </c>
      <c r="H35">
        <v>34.664000000000001</v>
      </c>
      <c r="I35">
        <v>9.5043333333333209</v>
      </c>
      <c r="J35">
        <v>9.5043333333333209</v>
      </c>
      <c r="K35">
        <v>24.112779443291</v>
      </c>
      <c r="L35">
        <v>90.447999954223604</v>
      </c>
      <c r="M35">
        <v>90.447999954223604</v>
      </c>
      <c r="N35" s="2">
        <v>5.1012617802947899E-6</v>
      </c>
      <c r="O35" s="3">
        <v>46090.42973703704</v>
      </c>
      <c r="P35" s="3">
        <v>46090.430248240744</v>
      </c>
      <c r="Q35" s="1" t="s">
        <v>55</v>
      </c>
      <c r="R35" s="1" t="s">
        <v>56</v>
      </c>
      <c r="T35">
        <f t="shared" si="0"/>
        <v>-9.5043333333332995</v>
      </c>
    </row>
    <row r="36" spans="1:20" x14ac:dyDescent="0.3">
      <c r="A36">
        <v>35</v>
      </c>
      <c r="B36">
        <v>2</v>
      </c>
      <c r="C36">
        <v>1773051544.49733</v>
      </c>
      <c r="D36">
        <v>1773051584.8016601</v>
      </c>
      <c r="E36">
        <v>40.304333333333297</v>
      </c>
      <c r="F36">
        <v>1773051472</v>
      </c>
      <c r="G36">
        <v>1773051501</v>
      </c>
      <c r="H36">
        <v>28.068000000000001</v>
      </c>
      <c r="I36">
        <v>12.236333333333301</v>
      </c>
      <c r="J36">
        <v>12.236333333333301</v>
      </c>
      <c r="K36">
        <v>35.793230205199897</v>
      </c>
      <c r="L36">
        <v>83.801666736602698</v>
      </c>
      <c r="M36">
        <v>83.801666736602698</v>
      </c>
      <c r="N36" s="2">
        <v>4.7264089457601103E-6</v>
      </c>
      <c r="O36" s="3">
        <v>46090.429913159722</v>
      </c>
      <c r="P36" s="3">
        <v>46090.430379652775</v>
      </c>
      <c r="Q36" s="1" t="s">
        <v>57</v>
      </c>
      <c r="R36" s="1" t="s">
        <v>58</v>
      </c>
      <c r="T36">
        <f t="shared" si="0"/>
        <v>-12.236333333333295</v>
      </c>
    </row>
    <row r="37" spans="1:20" x14ac:dyDescent="0.3">
      <c r="A37">
        <v>36</v>
      </c>
      <c r="B37">
        <v>3</v>
      </c>
      <c r="C37">
        <v>1773051566.63099</v>
      </c>
      <c r="D37">
        <v>1773051612.13433</v>
      </c>
      <c r="E37">
        <v>45.503333333333302</v>
      </c>
      <c r="F37">
        <v>1773051482</v>
      </c>
      <c r="G37">
        <v>1773051515</v>
      </c>
      <c r="H37">
        <v>33.451999999999998</v>
      </c>
      <c r="I37">
        <v>12.0513333333333</v>
      </c>
      <c r="J37">
        <v>12.0513333333333</v>
      </c>
      <c r="K37">
        <v>30.526964612903399</v>
      </c>
      <c r="L37">
        <v>97.134333133697496</v>
      </c>
      <c r="M37">
        <v>97.134333133697496</v>
      </c>
      <c r="N37" s="2">
        <v>5.47837046195514E-6</v>
      </c>
      <c r="O37" s="3">
        <v>46090.430169340281</v>
      </c>
      <c r="P37" s="3">
        <v>46090.430695995368</v>
      </c>
      <c r="Q37" s="1" t="s">
        <v>53</v>
      </c>
      <c r="R37" s="1" t="s">
        <v>59</v>
      </c>
      <c r="T37">
        <f t="shared" si="0"/>
        <v>-12.051333333333304</v>
      </c>
    </row>
    <row r="38" spans="1:20" x14ac:dyDescent="0.3">
      <c r="A38">
        <v>37</v>
      </c>
      <c r="B38">
        <v>1</v>
      </c>
      <c r="C38">
        <v>1773051573.448</v>
      </c>
      <c r="D38">
        <v>1773051629.391</v>
      </c>
      <c r="E38">
        <v>55.942999999999998</v>
      </c>
      <c r="F38">
        <v>1773051483</v>
      </c>
      <c r="G38">
        <v>1773051543</v>
      </c>
      <c r="H38">
        <v>59.23</v>
      </c>
      <c r="I38">
        <v>-3.2869999999999902</v>
      </c>
      <c r="J38">
        <v>3.2869999999999902</v>
      </c>
      <c r="K38">
        <v>5.7079350194923997</v>
      </c>
      <c r="L38">
        <v>86.391000032424898</v>
      </c>
      <c r="M38">
        <v>86.391000032424898</v>
      </c>
      <c r="N38" s="2">
        <v>4.8724470683787103E-6</v>
      </c>
      <c r="O38" s="3">
        <v>46090.430248240744</v>
      </c>
      <c r="P38" s="3">
        <v>46090.430895729165</v>
      </c>
      <c r="Q38" s="1" t="s">
        <v>56</v>
      </c>
      <c r="R38" s="1" t="s">
        <v>60</v>
      </c>
      <c r="T38">
        <f t="shared" si="0"/>
        <v>3.286999999999999</v>
      </c>
    </row>
    <row r="39" spans="1:20" x14ac:dyDescent="0.3">
      <c r="A39">
        <v>38</v>
      </c>
      <c r="B39">
        <v>4</v>
      </c>
      <c r="C39">
        <v>1773051584.1996601</v>
      </c>
      <c r="D39">
        <v>1773051641.6289899</v>
      </c>
      <c r="E39">
        <v>57.429333333333297</v>
      </c>
      <c r="F39">
        <v>1773051501</v>
      </c>
      <c r="G39">
        <v>1773051564</v>
      </c>
      <c r="H39">
        <v>63.006999999999998</v>
      </c>
      <c r="I39">
        <v>-5.5776666666666497</v>
      </c>
      <c r="J39">
        <v>5.5776666666666497</v>
      </c>
      <c r="K39">
        <v>9.2624318796376297</v>
      </c>
      <c r="L39">
        <v>77.628999710082994</v>
      </c>
      <c r="M39">
        <v>77.628999710082994</v>
      </c>
      <c r="N39" s="2">
        <v>4.3782707500930297E-6</v>
      </c>
      <c r="O39" s="3">
        <v>46090.430372685187</v>
      </c>
      <c r="P39" s="3">
        <v>46090.431037372684</v>
      </c>
      <c r="Q39" s="1" t="s">
        <v>58</v>
      </c>
      <c r="R39" s="1" t="s">
        <v>61</v>
      </c>
      <c r="T39">
        <f t="shared" si="0"/>
        <v>5.5776666666667012</v>
      </c>
    </row>
    <row r="40" spans="1:20" x14ac:dyDescent="0.3">
      <c r="A40">
        <v>39</v>
      </c>
      <c r="B40">
        <v>2</v>
      </c>
      <c r="C40">
        <v>1773051584.8016601</v>
      </c>
      <c r="D40">
        <v>1773051629.641</v>
      </c>
      <c r="E40">
        <v>44.8393333333333</v>
      </c>
      <c r="F40">
        <v>1773051515</v>
      </c>
      <c r="G40">
        <v>1773051563</v>
      </c>
      <c r="H40">
        <v>48.828000000000003</v>
      </c>
      <c r="I40">
        <v>-3.9886666666666599</v>
      </c>
      <c r="J40">
        <v>3.9886666666666599</v>
      </c>
      <c r="K40">
        <v>8.51666536181237</v>
      </c>
      <c r="L40">
        <v>66.641000032424898</v>
      </c>
      <c r="M40">
        <v>66.641000032424898</v>
      </c>
      <c r="N40" s="2">
        <v>3.7585482662050299E-6</v>
      </c>
      <c r="O40" s="3">
        <v>46090.430379652775</v>
      </c>
      <c r="P40" s="3">
        <v>46090.430898622682</v>
      </c>
      <c r="Q40" s="1" t="s">
        <v>59</v>
      </c>
      <c r="R40" s="1" t="s">
        <v>51</v>
      </c>
      <c r="T40">
        <f t="shared" si="0"/>
        <v>3.9886666666667026</v>
      </c>
    </row>
    <row r="41" spans="1:20" x14ac:dyDescent="0.3">
      <c r="A41">
        <v>40</v>
      </c>
      <c r="B41">
        <v>3</v>
      </c>
      <c r="C41">
        <v>1773051612.13433</v>
      </c>
      <c r="D41">
        <v>1773051643.0113299</v>
      </c>
      <c r="E41">
        <v>30.876999999999999</v>
      </c>
      <c r="F41">
        <v>1773051543</v>
      </c>
      <c r="G41">
        <v>1773051573</v>
      </c>
      <c r="H41">
        <v>30.416</v>
      </c>
      <c r="I41">
        <v>0.46099999999999802</v>
      </c>
      <c r="J41">
        <v>0.46099999999999802</v>
      </c>
      <c r="K41">
        <v>1.5042500774965999</v>
      </c>
      <c r="L41">
        <v>70.011333227157493</v>
      </c>
      <c r="M41">
        <v>70.011333227157493</v>
      </c>
      <c r="N41" s="2">
        <v>3.9486348232077903E-6</v>
      </c>
      <c r="O41" s="3">
        <v>46090.430695995368</v>
      </c>
      <c r="P41" s="3">
        <v>46090.431053368055</v>
      </c>
      <c r="Q41" s="1" t="s">
        <v>60</v>
      </c>
      <c r="R41" s="1" t="s">
        <v>62</v>
      </c>
      <c r="T41">
        <f t="shared" si="0"/>
        <v>-0.46099999999999852</v>
      </c>
    </row>
    <row r="42" spans="1:20" x14ac:dyDescent="0.3">
      <c r="A42">
        <v>41</v>
      </c>
      <c r="B42">
        <v>1</v>
      </c>
      <c r="C42">
        <v>1773051629.391</v>
      </c>
      <c r="D42">
        <v>1773051672.0346601</v>
      </c>
      <c r="E42">
        <v>42.643666666666597</v>
      </c>
      <c r="F42">
        <v>1773051563</v>
      </c>
      <c r="G42">
        <v>1773051598</v>
      </c>
      <c r="H42">
        <v>35.201000000000001</v>
      </c>
      <c r="I42">
        <v>7.4426666666666597</v>
      </c>
      <c r="J42">
        <v>7.4426666666666597</v>
      </c>
      <c r="K42">
        <v>19.1218409310849</v>
      </c>
      <c r="L42">
        <v>74.034666776657104</v>
      </c>
      <c r="M42">
        <v>74.034666776657104</v>
      </c>
      <c r="N42" s="2">
        <v>4.1755505206103698E-6</v>
      </c>
      <c r="O42" s="3">
        <v>46090.430895729165</v>
      </c>
      <c r="P42" s="3">
        <v>46090.431389293983</v>
      </c>
      <c r="Q42" s="1" t="s">
        <v>51</v>
      </c>
      <c r="R42" s="1" t="s">
        <v>63</v>
      </c>
      <c r="T42">
        <f t="shared" si="0"/>
        <v>-7.4426666666665966</v>
      </c>
    </row>
    <row r="43" spans="1:20" x14ac:dyDescent="0.3">
      <c r="A43">
        <v>42</v>
      </c>
      <c r="B43">
        <v>2</v>
      </c>
      <c r="C43">
        <v>1773051629.641</v>
      </c>
      <c r="D43">
        <v>1773051664.2943299</v>
      </c>
      <c r="E43">
        <v>34.6533333333333</v>
      </c>
      <c r="F43">
        <v>1773051563</v>
      </c>
      <c r="G43">
        <v>1773051593</v>
      </c>
      <c r="H43">
        <v>30.437000000000001</v>
      </c>
      <c r="I43">
        <v>4.2163333333333304</v>
      </c>
      <c r="J43">
        <v>4.2163333333333304</v>
      </c>
      <c r="K43">
        <v>12.9553287482524</v>
      </c>
      <c r="L43">
        <v>71.294333457946706</v>
      </c>
      <c r="M43">
        <v>71.294333457946706</v>
      </c>
      <c r="N43" s="2">
        <v>4.0209959093150603E-6</v>
      </c>
      <c r="O43" s="3">
        <v>46090.430898622682</v>
      </c>
      <c r="P43" s="3">
        <v>46090.431299699077</v>
      </c>
      <c r="Q43" s="1" t="s">
        <v>51</v>
      </c>
      <c r="R43" s="1" t="s">
        <v>64</v>
      </c>
      <c r="T43">
        <f t="shared" si="0"/>
        <v>-4.2163333333332993</v>
      </c>
    </row>
    <row r="44" spans="1:20" x14ac:dyDescent="0.3">
      <c r="A44">
        <v>43</v>
      </c>
      <c r="B44">
        <v>4</v>
      </c>
      <c r="C44">
        <v>1773051641.6289899</v>
      </c>
      <c r="D44">
        <v>1773051731.5436599</v>
      </c>
      <c r="E44">
        <v>89.914666666666605</v>
      </c>
      <c r="F44">
        <v>1773051563</v>
      </c>
      <c r="G44">
        <v>1773051654</v>
      </c>
      <c r="H44">
        <v>90.41</v>
      </c>
      <c r="I44">
        <v>-0.49533333333332003</v>
      </c>
      <c r="J44">
        <v>0.49533333333332003</v>
      </c>
      <c r="K44">
        <v>0.549379452616932</v>
      </c>
      <c r="L44">
        <v>77.543666362762394</v>
      </c>
      <c r="M44">
        <v>77.543666362762394</v>
      </c>
      <c r="N44" s="2">
        <v>4.3734577327261903E-6</v>
      </c>
      <c r="O44" s="3">
        <v>46090.431037372684</v>
      </c>
      <c r="P44" s="3">
        <v>46090.432078055557</v>
      </c>
      <c r="Q44" s="1" t="s">
        <v>51</v>
      </c>
      <c r="R44" s="1" t="s">
        <v>65</v>
      </c>
      <c r="T44">
        <f t="shared" si="0"/>
        <v>0.49533333333339158</v>
      </c>
    </row>
    <row r="45" spans="1:20" x14ac:dyDescent="0.3">
      <c r="A45">
        <v>44</v>
      </c>
      <c r="B45">
        <v>3</v>
      </c>
      <c r="C45">
        <v>1773051643.0113299</v>
      </c>
      <c r="D45">
        <v>1773051715.392</v>
      </c>
      <c r="E45">
        <v>72.380666666666599</v>
      </c>
      <c r="F45">
        <v>1773051573</v>
      </c>
      <c r="G45">
        <v>1773051611</v>
      </c>
      <c r="H45">
        <v>37.186999999999998</v>
      </c>
      <c r="I45">
        <v>35.193666666666601</v>
      </c>
      <c r="J45">
        <v>35.193666666666601</v>
      </c>
      <c r="K45">
        <v>64.240971332783701</v>
      </c>
      <c r="L45">
        <v>104.391999959945</v>
      </c>
      <c r="M45">
        <v>104.391999959945</v>
      </c>
      <c r="N45" s="2">
        <v>5.8877020972854601E-6</v>
      </c>
      <c r="O45" s="3">
        <v>46090.431053368055</v>
      </c>
      <c r="P45" s="3">
        <v>46090.431891111111</v>
      </c>
      <c r="Q45" s="1" t="s">
        <v>62</v>
      </c>
      <c r="R45" s="1" t="s">
        <v>66</v>
      </c>
      <c r="T45">
        <f t="shared" si="0"/>
        <v>-35.193666666666601</v>
      </c>
    </row>
    <row r="46" spans="1:20" x14ac:dyDescent="0.3">
      <c r="A46">
        <v>45</v>
      </c>
      <c r="B46">
        <v>2</v>
      </c>
      <c r="C46">
        <v>1773051664.2943299</v>
      </c>
      <c r="D46">
        <v>1773051715.39066</v>
      </c>
      <c r="E46">
        <v>51.096333333333298</v>
      </c>
      <c r="F46">
        <v>1773051593</v>
      </c>
      <c r="G46">
        <v>1773051632</v>
      </c>
      <c r="H46">
        <v>39.094999999999999</v>
      </c>
      <c r="I46">
        <v>12.001333333333299</v>
      </c>
      <c r="J46">
        <v>12.001333333333299</v>
      </c>
      <c r="K46">
        <v>26.613052251879299</v>
      </c>
      <c r="L46">
        <v>83.3906667232513</v>
      </c>
      <c r="M46">
        <v>83.3906667232513</v>
      </c>
      <c r="N46" s="2">
        <v>4.7032282228668097E-6</v>
      </c>
      <c r="O46" s="3">
        <v>46090.431299699077</v>
      </c>
      <c r="P46" s="3">
        <v>46090.431891099535</v>
      </c>
      <c r="Q46" s="1" t="s">
        <v>64</v>
      </c>
      <c r="R46" s="1" t="s">
        <v>67</v>
      </c>
      <c r="T46">
        <f t="shared" si="0"/>
        <v>-12.001333333333299</v>
      </c>
    </row>
    <row r="47" spans="1:20" x14ac:dyDescent="0.3">
      <c r="A47">
        <v>46</v>
      </c>
      <c r="B47">
        <v>1</v>
      </c>
      <c r="C47">
        <v>1773051672.0346601</v>
      </c>
      <c r="D47">
        <v>1773051723.33533</v>
      </c>
      <c r="E47">
        <v>51.300666666666601</v>
      </c>
      <c r="F47">
        <v>1773051598</v>
      </c>
      <c r="G47">
        <v>1773051638</v>
      </c>
      <c r="H47">
        <v>39.363999999999997</v>
      </c>
      <c r="I47">
        <v>11.9366666666666</v>
      </c>
      <c r="J47">
        <v>11.9366666666666</v>
      </c>
      <c r="K47">
        <v>26.331463194041</v>
      </c>
      <c r="L47">
        <v>85.3353333473205</v>
      </c>
      <c r="M47">
        <v>85.3353333473205</v>
      </c>
      <c r="N47" s="2">
        <v>4.8129072760691499E-6</v>
      </c>
      <c r="O47" s="3">
        <v>46090.431389293983</v>
      </c>
      <c r="P47" s="3">
        <v>46090.431983043978</v>
      </c>
      <c r="Q47" s="1" t="s">
        <v>63</v>
      </c>
      <c r="R47" s="1" t="s">
        <v>68</v>
      </c>
      <c r="T47">
        <f t="shared" si="0"/>
        <v>-11.936666666666603</v>
      </c>
    </row>
    <row r="48" spans="1:20" x14ac:dyDescent="0.3">
      <c r="A48">
        <v>47</v>
      </c>
      <c r="B48">
        <v>2</v>
      </c>
      <c r="C48">
        <v>1773051715.39066</v>
      </c>
      <c r="D48">
        <v>1773051829.7243299</v>
      </c>
      <c r="E48">
        <v>114.33366666666601</v>
      </c>
      <c r="F48">
        <v>1773051611</v>
      </c>
      <c r="G48">
        <v>1773051752</v>
      </c>
      <c r="H48">
        <v>140.96600000000001</v>
      </c>
      <c r="I48">
        <v>-26.6323333333333</v>
      </c>
      <c r="J48">
        <v>26.6323333333333</v>
      </c>
      <c r="K48">
        <v>20.863586451999499</v>
      </c>
      <c r="L48">
        <v>77.7243332862854</v>
      </c>
      <c r="M48">
        <v>77.7243332862854</v>
      </c>
      <c r="N48" s="2">
        <v>4.3836470929307096E-6</v>
      </c>
      <c r="O48" s="3">
        <v>46090.431891099535</v>
      </c>
      <c r="P48" s="3">
        <v>46090.433214398145</v>
      </c>
      <c r="Q48" s="1" t="s">
        <v>66</v>
      </c>
      <c r="R48" s="1" t="s">
        <v>69</v>
      </c>
      <c r="T48">
        <f t="shared" si="0"/>
        <v>26.632333333334003</v>
      </c>
    </row>
    <row r="49" spans="1:20" x14ac:dyDescent="0.3">
      <c r="A49">
        <v>48</v>
      </c>
      <c r="B49">
        <v>3</v>
      </c>
      <c r="C49">
        <v>1773051715.392</v>
      </c>
      <c r="D49">
        <v>1773051815.8116601</v>
      </c>
      <c r="E49">
        <v>100.419666666666</v>
      </c>
      <c r="F49">
        <v>1773051632</v>
      </c>
      <c r="G49">
        <v>1773051720</v>
      </c>
      <c r="H49">
        <v>88.820999999999998</v>
      </c>
      <c r="I49">
        <v>11.598666666666601</v>
      </c>
      <c r="J49">
        <v>11.598666666666601</v>
      </c>
      <c r="K49">
        <v>12.258112245077699</v>
      </c>
      <c r="L49">
        <v>95.811666727065997</v>
      </c>
      <c r="M49">
        <v>95.811666727065997</v>
      </c>
      <c r="N49" s="2">
        <v>5.4037715345576104E-6</v>
      </c>
      <c r="O49" s="3">
        <v>46090.431891111111</v>
      </c>
      <c r="P49" s="3">
        <v>46090.433053379631</v>
      </c>
      <c r="Q49" s="1" t="s">
        <v>67</v>
      </c>
      <c r="R49" s="1" t="s">
        <v>70</v>
      </c>
      <c r="T49">
        <f t="shared" si="0"/>
        <v>-11.598666666666006</v>
      </c>
    </row>
    <row r="50" spans="1:20" x14ac:dyDescent="0.3">
      <c r="A50">
        <v>49</v>
      </c>
      <c r="B50">
        <v>1</v>
      </c>
      <c r="C50">
        <v>1773051723.33533</v>
      </c>
      <c r="D50">
        <v>1773051796.1273301</v>
      </c>
      <c r="E50">
        <v>72.791999999999902</v>
      </c>
      <c r="F50">
        <v>1773051638</v>
      </c>
      <c r="G50">
        <v>1773051720</v>
      </c>
      <c r="H50">
        <v>82.004000000000005</v>
      </c>
      <c r="I50">
        <v>-9.2120000000000104</v>
      </c>
      <c r="J50">
        <v>9.2120000000000104</v>
      </c>
      <c r="K50">
        <v>11.9021163337554</v>
      </c>
      <c r="L50">
        <v>76.127333402633596</v>
      </c>
      <c r="M50">
        <v>76.127333402633596</v>
      </c>
      <c r="N50" s="2">
        <v>4.2935764879064504E-6</v>
      </c>
      <c r="O50" s="3">
        <v>46090.431983043978</v>
      </c>
      <c r="P50" s="3">
        <v>46090.432825543983</v>
      </c>
      <c r="Q50" s="1" t="s">
        <v>68</v>
      </c>
      <c r="R50" s="1" t="s">
        <v>70</v>
      </c>
      <c r="T50">
        <f t="shared" si="0"/>
        <v>9.2120000000001028</v>
      </c>
    </row>
    <row r="51" spans="1:20" x14ac:dyDescent="0.3">
      <c r="A51">
        <v>50</v>
      </c>
      <c r="B51">
        <v>4</v>
      </c>
      <c r="C51">
        <v>1773051731.5436599</v>
      </c>
      <c r="D51">
        <v>1773051772.5843301</v>
      </c>
      <c r="E51">
        <v>41.040666666666603</v>
      </c>
      <c r="F51">
        <v>1773051654</v>
      </c>
      <c r="G51">
        <v>1773051679</v>
      </c>
      <c r="H51">
        <v>24.875</v>
      </c>
      <c r="I51">
        <v>16.165666666666599</v>
      </c>
      <c r="J51">
        <v>16.165666666666599</v>
      </c>
      <c r="K51">
        <v>49.049543103055903</v>
      </c>
      <c r="L51">
        <v>93.584332942962604</v>
      </c>
      <c r="M51">
        <v>93.584332942962604</v>
      </c>
      <c r="N51" s="2">
        <v>5.2781501848825502E-6</v>
      </c>
      <c r="O51" s="3">
        <v>46090.432078055557</v>
      </c>
      <c r="P51" s="3">
        <v>46090.432553055558</v>
      </c>
      <c r="Q51" s="1" t="s">
        <v>65</v>
      </c>
      <c r="R51" s="1" t="s">
        <v>71</v>
      </c>
      <c r="T51">
        <f t="shared" si="0"/>
        <v>-16.165666666666603</v>
      </c>
    </row>
    <row r="52" spans="1:20" x14ac:dyDescent="0.3">
      <c r="A52">
        <v>51</v>
      </c>
      <c r="B52">
        <v>4</v>
      </c>
      <c r="C52">
        <v>1773051772.5843301</v>
      </c>
      <c r="D52">
        <v>1773051824.3666601</v>
      </c>
      <c r="E52">
        <v>51.782333333333298</v>
      </c>
      <c r="F52">
        <v>1773051679</v>
      </c>
      <c r="G52">
        <v>1773051720</v>
      </c>
      <c r="H52">
        <v>41.027999999999999</v>
      </c>
      <c r="I52">
        <v>10.7543333333333</v>
      </c>
      <c r="J52">
        <v>10.7543333333333</v>
      </c>
      <c r="K52">
        <v>23.1748619945336</v>
      </c>
      <c r="L52">
        <v>104.366666316986</v>
      </c>
      <c r="M52">
        <v>104.366666316986</v>
      </c>
      <c r="N52" s="2">
        <v>5.8862729196265397E-6</v>
      </c>
      <c r="O52" s="3">
        <v>46090.432553055558</v>
      </c>
      <c r="P52" s="3">
        <v>46090.433152395832</v>
      </c>
      <c r="Q52" s="1" t="s">
        <v>71</v>
      </c>
      <c r="R52" s="1" t="s">
        <v>70</v>
      </c>
      <c r="T52">
        <f t="shared" si="0"/>
        <v>-10.7543333333333</v>
      </c>
    </row>
    <row r="53" spans="1:20" x14ac:dyDescent="0.3">
      <c r="A53">
        <v>52</v>
      </c>
      <c r="B53">
        <v>1</v>
      </c>
      <c r="C53">
        <v>1773051796.1273301</v>
      </c>
      <c r="D53">
        <v>1773051878.1143301</v>
      </c>
      <c r="E53">
        <v>81.986999999999995</v>
      </c>
      <c r="F53">
        <v>1773051719</v>
      </c>
      <c r="G53">
        <v>1773051837</v>
      </c>
      <c r="H53">
        <v>118.265</v>
      </c>
      <c r="I53">
        <v>-36.277999999999899</v>
      </c>
      <c r="J53">
        <v>36.277999999999899</v>
      </c>
      <c r="K53">
        <v>36.232347242474397</v>
      </c>
      <c r="L53">
        <v>41.114333391189497</v>
      </c>
      <c r="M53">
        <v>41.114333391189497</v>
      </c>
      <c r="N53" s="2">
        <v>2.3188455101271001E-6</v>
      </c>
      <c r="O53" s="3">
        <v>46090.432825543983</v>
      </c>
      <c r="P53" s="3">
        <v>46090.433774467594</v>
      </c>
      <c r="Q53" s="1" t="s">
        <v>72</v>
      </c>
      <c r="R53" s="1" t="s">
        <v>73</v>
      </c>
      <c r="T53">
        <f t="shared" si="0"/>
        <v>36.278000000000006</v>
      </c>
    </row>
    <row r="54" spans="1:20" x14ac:dyDescent="0.3">
      <c r="A54">
        <v>53</v>
      </c>
      <c r="B54">
        <v>3</v>
      </c>
      <c r="C54">
        <v>1773051815.8116601</v>
      </c>
      <c r="D54">
        <v>1773051914.931</v>
      </c>
      <c r="E54">
        <v>99.119333333333302</v>
      </c>
      <c r="F54">
        <v>1773051719</v>
      </c>
      <c r="G54">
        <v>1773051839</v>
      </c>
      <c r="H54">
        <v>119.389</v>
      </c>
      <c r="I54">
        <v>-20.269666666666598</v>
      </c>
      <c r="J54">
        <v>20.269666666666598</v>
      </c>
      <c r="K54">
        <v>18.5527630525151</v>
      </c>
      <c r="L54">
        <v>75.930999994277897</v>
      </c>
      <c r="M54">
        <v>75.930999994277897</v>
      </c>
      <c r="N54" s="2">
        <v>4.2825030096823997E-6</v>
      </c>
      <c r="O54" s="3">
        <v>46090.433053379631</v>
      </c>
      <c r="P54" s="3">
        <v>46090.43420059028</v>
      </c>
      <c r="Q54" s="1" t="s">
        <v>72</v>
      </c>
      <c r="R54" s="1" t="s">
        <v>74</v>
      </c>
      <c r="T54">
        <f t="shared" si="0"/>
        <v>20.269666666666694</v>
      </c>
    </row>
    <row r="55" spans="1:20" x14ac:dyDescent="0.3">
      <c r="A55">
        <v>54</v>
      </c>
      <c r="B55">
        <v>4</v>
      </c>
      <c r="C55">
        <v>1773051824.3666601</v>
      </c>
      <c r="D55">
        <v>1773052000.13833</v>
      </c>
      <c r="E55">
        <v>175.77166666666599</v>
      </c>
      <c r="F55">
        <v>1773051720</v>
      </c>
      <c r="G55">
        <v>1773051864</v>
      </c>
      <c r="H55">
        <v>144.33799999999999</v>
      </c>
      <c r="I55">
        <v>31.4336666666666</v>
      </c>
      <c r="J55">
        <v>31.4336666666666</v>
      </c>
      <c r="K55">
        <v>19.639311111087899</v>
      </c>
      <c r="L55">
        <v>136.13833308219901</v>
      </c>
      <c r="M55">
        <v>136.13833308219901</v>
      </c>
      <c r="N55" s="2">
        <v>7.6781920833714305E-6</v>
      </c>
      <c r="O55" s="3">
        <v>46090.433152395832</v>
      </c>
      <c r="P55" s="3">
        <v>46090.435186782408</v>
      </c>
      <c r="Q55" s="1" t="s">
        <v>70</v>
      </c>
      <c r="R55" s="1" t="s">
        <v>75</v>
      </c>
      <c r="T55">
        <f t="shared" si="0"/>
        <v>-31.433666666665999</v>
      </c>
    </row>
    <row r="56" spans="1:20" x14ac:dyDescent="0.3">
      <c r="A56">
        <v>55</v>
      </c>
      <c r="B56">
        <v>2</v>
      </c>
      <c r="C56">
        <v>1773051829.7243299</v>
      </c>
      <c r="D56">
        <v>1773051933.7979901</v>
      </c>
      <c r="E56">
        <v>104.073666666666</v>
      </c>
      <c r="F56">
        <v>1773051751</v>
      </c>
      <c r="G56">
        <v>1773051870</v>
      </c>
      <c r="H56">
        <v>118.134</v>
      </c>
      <c r="I56">
        <v>-14.0603333333333</v>
      </c>
      <c r="J56">
        <v>14.0603333333333</v>
      </c>
      <c r="K56">
        <v>12.655128910943599</v>
      </c>
      <c r="L56">
        <v>63.797999858856201</v>
      </c>
      <c r="M56">
        <v>63.797999858856201</v>
      </c>
      <c r="N56" s="2">
        <v>3.5982026127112399E-6</v>
      </c>
      <c r="O56" s="3">
        <v>46090.433214398145</v>
      </c>
      <c r="P56" s="3">
        <v>46090.434418958335</v>
      </c>
      <c r="Q56" s="1" t="s">
        <v>76</v>
      </c>
      <c r="R56" s="1" t="s">
        <v>77</v>
      </c>
      <c r="T56">
        <f t="shared" si="0"/>
        <v>14.060333333334</v>
      </c>
    </row>
    <row r="57" spans="1:20" x14ac:dyDescent="0.3">
      <c r="A57">
        <v>56</v>
      </c>
      <c r="B57">
        <v>1</v>
      </c>
      <c r="C57">
        <v>1773051878.1143301</v>
      </c>
      <c r="D57">
        <v>1773051958.6459999</v>
      </c>
      <c r="E57">
        <v>80.531666666666595</v>
      </c>
      <c r="F57">
        <v>1773051837</v>
      </c>
      <c r="G57">
        <v>1773051922</v>
      </c>
      <c r="H57">
        <v>84.88</v>
      </c>
      <c r="I57">
        <v>-4.3483333333333096</v>
      </c>
      <c r="J57">
        <v>4.3483333333333096</v>
      </c>
      <c r="K57">
        <v>5.2575896500649604</v>
      </c>
      <c r="L57">
        <v>36.646000146865802</v>
      </c>
      <c r="M57">
        <v>36.646000146865802</v>
      </c>
      <c r="N57" s="2">
        <v>2.06683173309575E-6</v>
      </c>
      <c r="O57" s="3">
        <v>46090.433774467594</v>
      </c>
      <c r="P57" s="3">
        <v>46090.434706550928</v>
      </c>
      <c r="Q57" s="1" t="s">
        <v>73</v>
      </c>
      <c r="R57" s="1" t="s">
        <v>78</v>
      </c>
      <c r="T57">
        <f t="shared" si="0"/>
        <v>4.3483333333334002</v>
      </c>
    </row>
    <row r="58" spans="1:20" x14ac:dyDescent="0.3">
      <c r="A58">
        <v>57</v>
      </c>
      <c r="B58">
        <v>3</v>
      </c>
      <c r="C58">
        <v>1773051914.931</v>
      </c>
      <c r="D58">
        <v>1773051989.5273299</v>
      </c>
      <c r="E58">
        <v>74.596333333333305</v>
      </c>
      <c r="F58">
        <v>1773051838</v>
      </c>
      <c r="G58">
        <v>1773051877</v>
      </c>
      <c r="H58">
        <v>39.204000000000001</v>
      </c>
      <c r="I58">
        <v>35.392333333333298</v>
      </c>
      <c r="J58">
        <v>35.392333333333298</v>
      </c>
      <c r="K58">
        <v>62.200755123740102</v>
      </c>
      <c r="L58">
        <v>112.52733325958199</v>
      </c>
      <c r="M58">
        <v>112.52733325958199</v>
      </c>
      <c r="N58" s="2">
        <v>6.3465334065231102E-6</v>
      </c>
      <c r="O58" s="3">
        <v>46090.43420059028</v>
      </c>
      <c r="P58" s="3">
        <v>46090.435063969904</v>
      </c>
      <c r="Q58" s="1" t="s">
        <v>79</v>
      </c>
      <c r="R58" s="1" t="s">
        <v>80</v>
      </c>
      <c r="T58">
        <f t="shared" si="0"/>
        <v>-35.392333333333305</v>
      </c>
    </row>
    <row r="59" spans="1:20" x14ac:dyDescent="0.3">
      <c r="A59">
        <v>58</v>
      </c>
      <c r="B59">
        <v>2</v>
      </c>
      <c r="C59">
        <v>1773051933.7979901</v>
      </c>
      <c r="D59">
        <v>1773052037.4979999</v>
      </c>
      <c r="E59">
        <v>103.7</v>
      </c>
      <c r="F59">
        <v>1773051863</v>
      </c>
      <c r="G59">
        <v>1773051967</v>
      </c>
      <c r="H59">
        <v>103.16200000000001</v>
      </c>
      <c r="I59">
        <v>0.53799999999999604</v>
      </c>
      <c r="J59">
        <v>0.53799999999999604</v>
      </c>
      <c r="K59">
        <v>0.52015353230655803</v>
      </c>
      <c r="L59">
        <v>70.497999906539903</v>
      </c>
      <c r="M59">
        <v>70.497999906539903</v>
      </c>
      <c r="N59" s="2">
        <v>3.9760819094486601E-6</v>
      </c>
      <c r="O59" s="3">
        <v>46090.434418958335</v>
      </c>
      <c r="P59" s="3">
        <v>46090.435619189811</v>
      </c>
      <c r="Q59" s="1" t="s">
        <v>81</v>
      </c>
      <c r="R59" s="1" t="s">
        <v>82</v>
      </c>
      <c r="T59">
        <f t="shared" si="0"/>
        <v>-0.5379999999999967</v>
      </c>
    </row>
    <row r="60" spans="1:20" x14ac:dyDescent="0.3">
      <c r="A60">
        <v>59</v>
      </c>
      <c r="B60">
        <v>1</v>
      </c>
      <c r="C60">
        <v>1773051958.6459999</v>
      </c>
      <c r="D60">
        <v>1773052034.0039999</v>
      </c>
      <c r="E60">
        <v>75.358000000000004</v>
      </c>
      <c r="F60">
        <v>1773051870</v>
      </c>
      <c r="G60">
        <v>1773051899</v>
      </c>
      <c r="H60">
        <v>29.131</v>
      </c>
      <c r="I60">
        <v>46.226999999999997</v>
      </c>
      <c r="J60">
        <v>46.226999999999997</v>
      </c>
      <c r="K60">
        <v>88.482041171797903</v>
      </c>
      <c r="L60">
        <v>135.00400018692</v>
      </c>
      <c r="M60">
        <v>135.00400018692</v>
      </c>
      <c r="N60" s="2">
        <v>7.61421564271832E-6</v>
      </c>
      <c r="O60" s="3">
        <v>46090.434706550928</v>
      </c>
      <c r="P60" s="3">
        <v>46090.435578750003</v>
      </c>
      <c r="Q60" s="1" t="s">
        <v>77</v>
      </c>
      <c r="R60" s="1" t="s">
        <v>83</v>
      </c>
      <c r="T60">
        <f t="shared" si="0"/>
        <v>-46.227000000000004</v>
      </c>
    </row>
    <row r="61" spans="1:20" x14ac:dyDescent="0.3">
      <c r="A61">
        <v>60</v>
      </c>
      <c r="B61">
        <v>3</v>
      </c>
      <c r="C61">
        <v>1773051989.5273299</v>
      </c>
      <c r="D61">
        <v>1773052065.3046601</v>
      </c>
      <c r="E61">
        <v>75.777333333333303</v>
      </c>
      <c r="F61">
        <v>1773051877</v>
      </c>
      <c r="G61">
        <v>1773051939</v>
      </c>
      <c r="H61">
        <v>61.146999999999998</v>
      </c>
      <c r="I61">
        <v>14.630333333333301</v>
      </c>
      <c r="J61">
        <v>14.630333333333301</v>
      </c>
      <c r="K61">
        <v>21.369953721398399</v>
      </c>
      <c r="L61">
        <v>126.304666519165</v>
      </c>
      <c r="M61">
        <v>126.304666519165</v>
      </c>
      <c r="N61" s="2">
        <v>7.1235737229275799E-6</v>
      </c>
      <c r="O61" s="3">
        <v>46090.435063969904</v>
      </c>
      <c r="P61" s="3">
        <v>46090.435941030089</v>
      </c>
      <c r="Q61" s="1" t="s">
        <v>80</v>
      </c>
      <c r="R61" s="1" t="s">
        <v>84</v>
      </c>
      <c r="T61">
        <f t="shared" si="0"/>
        <v>-14.630333333333304</v>
      </c>
    </row>
    <row r="62" spans="1:20" x14ac:dyDescent="0.3">
      <c r="A62">
        <v>61</v>
      </c>
      <c r="B62">
        <v>4</v>
      </c>
      <c r="C62">
        <v>1773052000.13833</v>
      </c>
      <c r="D62">
        <v>1773052107.1429901</v>
      </c>
      <c r="E62">
        <v>107.004666666666</v>
      </c>
      <c r="F62">
        <v>1773051899</v>
      </c>
      <c r="G62">
        <v>1773052014</v>
      </c>
      <c r="H62">
        <v>114.723</v>
      </c>
      <c r="I62">
        <v>-7.7183333333333302</v>
      </c>
      <c r="J62">
        <v>7.7183333333333302</v>
      </c>
      <c r="K62">
        <v>6.9619939174633103</v>
      </c>
      <c r="L62">
        <v>93.142999649047795</v>
      </c>
      <c r="M62">
        <v>93.142999649047795</v>
      </c>
      <c r="N62" s="2">
        <v>5.2532580244161299E-6</v>
      </c>
      <c r="O62" s="3">
        <v>46090.435186782408</v>
      </c>
      <c r="P62" s="3">
        <v>46090.436425266205</v>
      </c>
      <c r="Q62" s="1" t="s">
        <v>83</v>
      </c>
      <c r="R62" s="1" t="s">
        <v>85</v>
      </c>
      <c r="T62">
        <f t="shared" si="0"/>
        <v>7.7183333333340016</v>
      </c>
    </row>
    <row r="63" spans="1:20" x14ac:dyDescent="0.3">
      <c r="A63">
        <v>62</v>
      </c>
      <c r="B63">
        <v>1</v>
      </c>
      <c r="C63">
        <v>1773052034.0039999</v>
      </c>
      <c r="D63">
        <v>1773052143.8236599</v>
      </c>
      <c r="E63">
        <v>109.819666666666</v>
      </c>
      <c r="F63">
        <v>1773051922</v>
      </c>
      <c r="G63">
        <v>1773052024</v>
      </c>
      <c r="H63">
        <v>101.61799999999999</v>
      </c>
      <c r="I63">
        <v>8.2016666666666609</v>
      </c>
      <c r="J63">
        <v>8.2016666666666609</v>
      </c>
      <c r="K63">
        <v>7.7579995995667703</v>
      </c>
      <c r="L63">
        <v>119.823666810989</v>
      </c>
      <c r="M63">
        <v>119.823666810989</v>
      </c>
      <c r="N63" s="2">
        <v>6.7580455136222403E-6</v>
      </c>
      <c r="O63" s="3">
        <v>46090.435578750003</v>
      </c>
      <c r="P63" s="3">
        <v>46090.436849814818</v>
      </c>
      <c r="Q63" s="1" t="s">
        <v>78</v>
      </c>
      <c r="R63" s="1" t="s">
        <v>86</v>
      </c>
      <c r="T63">
        <f t="shared" si="0"/>
        <v>-8.2016666666660001</v>
      </c>
    </row>
    <row r="64" spans="1:20" x14ac:dyDescent="0.3">
      <c r="A64">
        <v>63</v>
      </c>
      <c r="B64">
        <v>2</v>
      </c>
      <c r="C64">
        <v>1773052037.4979999</v>
      </c>
      <c r="D64">
        <v>1773052120.043</v>
      </c>
      <c r="E64">
        <v>82.545000000000002</v>
      </c>
      <c r="F64">
        <v>1773051938</v>
      </c>
      <c r="G64">
        <v>1773052052</v>
      </c>
      <c r="H64">
        <v>113.67</v>
      </c>
      <c r="I64">
        <v>-31.125</v>
      </c>
      <c r="J64">
        <v>31.125</v>
      </c>
      <c r="K64">
        <v>31.725403256631701</v>
      </c>
      <c r="L64">
        <v>68.042999982833805</v>
      </c>
      <c r="M64">
        <v>68.042999982833805</v>
      </c>
      <c r="N64" s="2">
        <v>3.83761991648612E-6</v>
      </c>
      <c r="O64" s="3">
        <v>46090.435619189811</v>
      </c>
      <c r="P64" s="3">
        <v>46090.436574571759</v>
      </c>
      <c r="Q64" s="1" t="s">
        <v>87</v>
      </c>
      <c r="R64" s="1" t="s">
        <v>88</v>
      </c>
      <c r="T64">
        <f t="shared" si="0"/>
        <v>31.125</v>
      </c>
    </row>
    <row r="65" spans="1:20" x14ac:dyDescent="0.3">
      <c r="A65">
        <v>64</v>
      </c>
      <c r="B65">
        <v>3</v>
      </c>
      <c r="C65">
        <v>1773052065.3046601</v>
      </c>
      <c r="D65">
        <v>1773052103.2376599</v>
      </c>
      <c r="E65">
        <v>37.933</v>
      </c>
      <c r="F65">
        <v>1773051967</v>
      </c>
      <c r="G65">
        <v>1773052042</v>
      </c>
      <c r="H65">
        <v>75.174000000000007</v>
      </c>
      <c r="I65">
        <v>-37.241</v>
      </c>
      <c r="J65">
        <v>37.241</v>
      </c>
      <c r="K65">
        <v>65.850919925380396</v>
      </c>
      <c r="L65">
        <v>61.237666606902998</v>
      </c>
      <c r="M65">
        <v>61.237666606902998</v>
      </c>
      <c r="N65" s="2">
        <v>3.4537996685260201E-6</v>
      </c>
      <c r="O65" s="3">
        <v>46090.435941030089</v>
      </c>
      <c r="P65" s="3">
        <v>46090.436380069441</v>
      </c>
      <c r="Q65" s="1" t="s">
        <v>82</v>
      </c>
      <c r="R65" s="1" t="s">
        <v>89</v>
      </c>
      <c r="T65">
        <f t="shared" si="0"/>
        <v>37.241000000000007</v>
      </c>
    </row>
    <row r="66" spans="1:20" x14ac:dyDescent="0.3">
      <c r="A66">
        <v>65</v>
      </c>
      <c r="B66">
        <v>3</v>
      </c>
      <c r="C66">
        <v>1773052103.2376599</v>
      </c>
      <c r="D66">
        <v>1773052200.2653301</v>
      </c>
      <c r="E66">
        <v>97.027666666666605</v>
      </c>
      <c r="F66">
        <v>1773052014</v>
      </c>
      <c r="G66">
        <v>1773052136</v>
      </c>
      <c r="H66">
        <v>121.727</v>
      </c>
      <c r="I66">
        <v>-24.6993333333333</v>
      </c>
      <c r="J66">
        <v>24.6993333333333</v>
      </c>
      <c r="K66">
        <v>22.5817658747089</v>
      </c>
      <c r="L66">
        <v>64.265333175659094</v>
      </c>
      <c r="M66">
        <v>64.265333175659094</v>
      </c>
      <c r="N66" s="2">
        <v>3.6245596339864999E-6</v>
      </c>
      <c r="O66" s="3">
        <v>46090.436380069441</v>
      </c>
      <c r="P66" s="3">
        <v>46090.437503067129</v>
      </c>
      <c r="Q66" s="1" t="s">
        <v>85</v>
      </c>
      <c r="R66" s="1" t="s">
        <v>90</v>
      </c>
      <c r="T66">
        <f t="shared" si="0"/>
        <v>24.699333333333399</v>
      </c>
    </row>
    <row r="67" spans="1:20" x14ac:dyDescent="0.3">
      <c r="A67">
        <v>66</v>
      </c>
      <c r="B67">
        <v>4</v>
      </c>
      <c r="C67">
        <v>1773052107.1429901</v>
      </c>
      <c r="D67">
        <v>1773052142.66133</v>
      </c>
      <c r="E67">
        <v>35.518333333333302</v>
      </c>
      <c r="F67">
        <v>1773052024</v>
      </c>
      <c r="G67">
        <v>1773052080</v>
      </c>
      <c r="H67">
        <v>56.145000000000003</v>
      </c>
      <c r="I67">
        <v>-20.626666666666601</v>
      </c>
      <c r="J67">
        <v>20.626666666666601</v>
      </c>
      <c r="K67">
        <v>45.005272919015198</v>
      </c>
      <c r="L67">
        <v>62.661333084106403</v>
      </c>
      <c r="M67">
        <v>62.661333084106403</v>
      </c>
      <c r="N67" s="2">
        <v>3.53409427075888E-6</v>
      </c>
      <c r="O67" s="3">
        <v>46090.436425266205</v>
      </c>
      <c r="P67" s="3">
        <v>46090.436836354165</v>
      </c>
      <c r="Q67" s="1" t="s">
        <v>86</v>
      </c>
      <c r="R67" s="1" t="s">
        <v>91</v>
      </c>
      <c r="T67">
        <f t="shared" ref="T67:T119" si="1">H67-E67</f>
        <v>20.626666666666701</v>
      </c>
    </row>
    <row r="68" spans="1:20" x14ac:dyDescent="0.3">
      <c r="A68">
        <v>67</v>
      </c>
      <c r="B68">
        <v>2</v>
      </c>
      <c r="C68">
        <v>1773052120.043</v>
      </c>
      <c r="D68">
        <v>1773052163.94333</v>
      </c>
      <c r="E68">
        <v>43.9003333333333</v>
      </c>
      <c r="F68">
        <v>1773052042</v>
      </c>
      <c r="G68">
        <v>1773052125</v>
      </c>
      <c r="H68">
        <v>82.858999999999995</v>
      </c>
      <c r="I68">
        <v>-38.958666666666602</v>
      </c>
      <c r="J68">
        <v>38.958666666666602</v>
      </c>
      <c r="K68">
        <v>61.468714992715803</v>
      </c>
      <c r="L68">
        <v>38.9433333873748</v>
      </c>
      <c r="M68">
        <v>38.9433333873748</v>
      </c>
      <c r="N68" s="2">
        <v>2.1964009072603498E-6</v>
      </c>
      <c r="O68" s="3">
        <v>46090.436574571759</v>
      </c>
      <c r="P68" s="3">
        <v>46090.437082673612</v>
      </c>
      <c r="Q68" s="1" t="s">
        <v>89</v>
      </c>
      <c r="R68" s="1" t="s">
        <v>92</v>
      </c>
      <c r="T68">
        <f t="shared" si="1"/>
        <v>38.958666666666694</v>
      </c>
    </row>
    <row r="69" spans="1:20" x14ac:dyDescent="0.3">
      <c r="A69">
        <v>68</v>
      </c>
      <c r="B69">
        <v>4</v>
      </c>
      <c r="C69">
        <v>1773052142.66133</v>
      </c>
      <c r="D69">
        <v>1773052180.58166</v>
      </c>
      <c r="E69">
        <v>37.920333333333303</v>
      </c>
      <c r="F69">
        <v>1773052051</v>
      </c>
      <c r="G69">
        <v>1773052116</v>
      </c>
      <c r="H69">
        <v>64.257999999999996</v>
      </c>
      <c r="I69">
        <v>-26.3376666666666</v>
      </c>
      <c r="J69">
        <v>26.3376666666666</v>
      </c>
      <c r="K69">
        <v>51.552351281256598</v>
      </c>
      <c r="L69">
        <v>64.581666469573904</v>
      </c>
      <c r="M69">
        <v>64.581666469573904</v>
      </c>
      <c r="N69" s="2">
        <v>3.6424008471397001E-6</v>
      </c>
      <c r="O69" s="3">
        <v>46090.436836354165</v>
      </c>
      <c r="P69" s="3">
        <v>46090.437275254626</v>
      </c>
      <c r="Q69" s="1" t="s">
        <v>93</v>
      </c>
      <c r="R69" s="1" t="s">
        <v>94</v>
      </c>
      <c r="T69">
        <f t="shared" si="1"/>
        <v>26.337666666666692</v>
      </c>
    </row>
    <row r="70" spans="1:20" x14ac:dyDescent="0.3">
      <c r="A70">
        <v>69</v>
      </c>
      <c r="B70">
        <v>1</v>
      </c>
      <c r="C70">
        <v>1773052143.8236599</v>
      </c>
      <c r="D70">
        <v>1773052181.6533301</v>
      </c>
      <c r="E70">
        <v>37.829666666666597</v>
      </c>
      <c r="F70">
        <v>1773052080</v>
      </c>
      <c r="G70">
        <v>1773052158</v>
      </c>
      <c r="H70">
        <v>77.992000000000004</v>
      </c>
      <c r="I70">
        <v>-40.162333333333301</v>
      </c>
      <c r="J70">
        <v>40.162333333333301</v>
      </c>
      <c r="K70">
        <v>69.352021066869995</v>
      </c>
      <c r="L70">
        <v>23.653333425521801</v>
      </c>
      <c r="M70">
        <v>23.653333425521801</v>
      </c>
      <c r="N70" s="2">
        <v>1.3340461058082701E-6</v>
      </c>
      <c r="O70" s="3">
        <v>46090.436849814818</v>
      </c>
      <c r="P70" s="3">
        <v>46090.437287650464</v>
      </c>
      <c r="Q70" s="1" t="s">
        <v>91</v>
      </c>
      <c r="R70" s="1" t="s">
        <v>95</v>
      </c>
      <c r="T70">
        <f t="shared" si="1"/>
        <v>40.162333333333407</v>
      </c>
    </row>
    <row r="71" spans="1:20" x14ac:dyDescent="0.3">
      <c r="A71">
        <v>70</v>
      </c>
      <c r="B71">
        <v>2</v>
      </c>
      <c r="C71">
        <v>1773052163.94333</v>
      </c>
      <c r="D71">
        <v>1773052195.7539999</v>
      </c>
      <c r="E71">
        <v>31.810666666666599</v>
      </c>
      <c r="F71">
        <v>1773052115</v>
      </c>
      <c r="G71">
        <v>1773052169</v>
      </c>
      <c r="H71">
        <v>53.945999999999998</v>
      </c>
      <c r="I71">
        <v>-22.1353333333333</v>
      </c>
      <c r="J71">
        <v>22.1353333333333</v>
      </c>
      <c r="K71">
        <v>51.623586115753803</v>
      </c>
      <c r="L71">
        <v>26.753999948501502</v>
      </c>
      <c r="M71">
        <v>26.753999948501502</v>
      </c>
      <c r="N71" s="2">
        <v>1.50892343803635E-6</v>
      </c>
      <c r="O71" s="3">
        <v>46090.437082673612</v>
      </c>
      <c r="P71" s="3">
        <v>46090.43745085648</v>
      </c>
      <c r="Q71" s="1" t="s">
        <v>96</v>
      </c>
      <c r="R71" s="1" t="s">
        <v>97</v>
      </c>
      <c r="T71">
        <f t="shared" si="1"/>
        <v>22.135333333333399</v>
      </c>
    </row>
    <row r="72" spans="1:20" x14ac:dyDescent="0.3">
      <c r="A72">
        <v>71</v>
      </c>
      <c r="B72">
        <v>4</v>
      </c>
      <c r="C72">
        <v>1773052180.58166</v>
      </c>
      <c r="D72">
        <v>1773052214.90466</v>
      </c>
      <c r="E72">
        <v>34.323</v>
      </c>
      <c r="F72">
        <v>1773052125</v>
      </c>
      <c r="G72">
        <v>1773052184</v>
      </c>
      <c r="H72">
        <v>58.57</v>
      </c>
      <c r="I72">
        <v>-24.247</v>
      </c>
      <c r="J72">
        <v>24.247</v>
      </c>
      <c r="K72">
        <v>52.204148859440402</v>
      </c>
      <c r="L72">
        <v>30.9046664237976</v>
      </c>
      <c r="M72">
        <v>30.9046664237976</v>
      </c>
      <c r="N72" s="2">
        <v>1.74302067549638E-6</v>
      </c>
      <c r="O72" s="3">
        <v>46090.437275254626</v>
      </c>
      <c r="P72" s="3">
        <v>46090.437672511573</v>
      </c>
      <c r="Q72" s="1" t="s">
        <v>92</v>
      </c>
      <c r="R72" s="1" t="s">
        <v>98</v>
      </c>
      <c r="T72">
        <f t="shared" si="1"/>
        <v>24.247</v>
      </c>
    </row>
    <row r="73" spans="1:20" x14ac:dyDescent="0.3">
      <c r="A73">
        <v>72</v>
      </c>
      <c r="B73">
        <v>1</v>
      </c>
      <c r="C73">
        <v>1773052181.6533301</v>
      </c>
      <c r="D73">
        <v>1773052228.0566599</v>
      </c>
      <c r="E73">
        <v>46.4033333333333</v>
      </c>
      <c r="F73">
        <v>1773052136</v>
      </c>
      <c r="G73">
        <v>1773052200</v>
      </c>
      <c r="H73">
        <v>64.150000000000006</v>
      </c>
      <c r="I73">
        <v>-17.746666666666599</v>
      </c>
      <c r="J73">
        <v>17.746666666666599</v>
      </c>
      <c r="K73">
        <v>32.1051679430742</v>
      </c>
      <c r="L73">
        <v>28.056666851043701</v>
      </c>
      <c r="M73">
        <v>28.056666851043701</v>
      </c>
      <c r="N73" s="2">
        <v>1.5823937179661199E-6</v>
      </c>
      <c r="O73" s="3">
        <v>46090.437287650464</v>
      </c>
      <c r="P73" s="3">
        <v>46090.437824733795</v>
      </c>
      <c r="Q73" s="1" t="s">
        <v>90</v>
      </c>
      <c r="R73" s="1" t="s">
        <v>99</v>
      </c>
      <c r="T73">
        <f t="shared" si="1"/>
        <v>17.746666666666705</v>
      </c>
    </row>
    <row r="74" spans="1:20" x14ac:dyDescent="0.3">
      <c r="A74">
        <v>73</v>
      </c>
      <c r="B74">
        <v>2</v>
      </c>
      <c r="C74">
        <v>1773052195.7539999</v>
      </c>
      <c r="D74">
        <v>1773052303.33566</v>
      </c>
      <c r="E74">
        <v>107.581666666666</v>
      </c>
      <c r="F74">
        <v>1773052158</v>
      </c>
      <c r="G74">
        <v>1773052277</v>
      </c>
      <c r="H74">
        <v>118.616</v>
      </c>
      <c r="I74">
        <v>-11.034333333333301</v>
      </c>
      <c r="J74">
        <v>11.034333333333301</v>
      </c>
      <c r="K74">
        <v>9.7563635345486901</v>
      </c>
      <c r="L74">
        <v>26.335666656494102</v>
      </c>
      <c r="M74">
        <v>26.335666656494102</v>
      </c>
      <c r="N74" s="2">
        <v>1.4853293838277699E-6</v>
      </c>
      <c r="O74" s="3">
        <v>46090.43745085648</v>
      </c>
      <c r="P74" s="3">
        <v>46090.438696018522</v>
      </c>
      <c r="Q74" s="1" t="s">
        <v>95</v>
      </c>
      <c r="R74" s="1" t="s">
        <v>100</v>
      </c>
      <c r="T74">
        <f t="shared" si="1"/>
        <v>11.034333333334004</v>
      </c>
    </row>
    <row r="75" spans="1:20" x14ac:dyDescent="0.3">
      <c r="A75">
        <v>74</v>
      </c>
      <c r="B75">
        <v>3</v>
      </c>
      <c r="C75">
        <v>1773052200.2653301</v>
      </c>
      <c r="D75">
        <v>1773052230.0669999</v>
      </c>
      <c r="E75">
        <v>29.801666666666598</v>
      </c>
      <c r="F75">
        <v>1773052169</v>
      </c>
      <c r="G75">
        <v>1773052204</v>
      </c>
      <c r="H75">
        <v>34.582000000000001</v>
      </c>
      <c r="I75">
        <v>-4.7803333333333304</v>
      </c>
      <c r="J75">
        <v>4.7803333333333304</v>
      </c>
      <c r="K75">
        <v>14.849521876666399</v>
      </c>
      <c r="L75">
        <v>26.066999912261899</v>
      </c>
      <c r="M75">
        <v>26.066999912261899</v>
      </c>
      <c r="N75" s="2">
        <v>1.4701766626972E-6</v>
      </c>
      <c r="O75" s="3">
        <v>46090.437503067129</v>
      </c>
      <c r="P75" s="3">
        <v>46090.437847997688</v>
      </c>
      <c r="Q75" s="1" t="s">
        <v>97</v>
      </c>
      <c r="R75" s="1" t="s">
        <v>101</v>
      </c>
      <c r="T75">
        <f t="shared" si="1"/>
        <v>4.7803333333334024</v>
      </c>
    </row>
    <row r="76" spans="1:20" x14ac:dyDescent="0.3">
      <c r="A76">
        <v>75</v>
      </c>
      <c r="B76">
        <v>4</v>
      </c>
      <c r="C76">
        <v>1773052214.90466</v>
      </c>
      <c r="D76">
        <v>1773052250.6036601</v>
      </c>
      <c r="E76">
        <v>35.698999999999998</v>
      </c>
      <c r="F76">
        <v>1773052184</v>
      </c>
      <c r="G76">
        <v>1773052240</v>
      </c>
      <c r="H76">
        <v>55.661999999999999</v>
      </c>
      <c r="I76">
        <v>-19.962999999999901</v>
      </c>
      <c r="J76">
        <v>19.962999999999901</v>
      </c>
      <c r="K76">
        <v>43.701360536771602</v>
      </c>
      <c r="L76">
        <v>10.6036663055419</v>
      </c>
      <c r="M76">
        <v>10.6036663055419</v>
      </c>
      <c r="N76" s="2">
        <v>5.9804590268781902E-7</v>
      </c>
      <c r="O76" s="3">
        <v>46090.437672511573</v>
      </c>
      <c r="P76" s="3">
        <v>46090.438085694441</v>
      </c>
      <c r="Q76" s="1" t="s">
        <v>98</v>
      </c>
      <c r="R76" s="1" t="s">
        <v>102</v>
      </c>
      <c r="T76">
        <f t="shared" si="1"/>
        <v>19.963000000000001</v>
      </c>
    </row>
    <row r="77" spans="1:20" x14ac:dyDescent="0.3">
      <c r="A77">
        <v>76</v>
      </c>
      <c r="B77">
        <v>1</v>
      </c>
      <c r="C77">
        <v>1773052228.0566599</v>
      </c>
      <c r="D77">
        <v>1773052266.68066</v>
      </c>
      <c r="E77">
        <v>38.624000000000002</v>
      </c>
      <c r="F77">
        <v>1773052200</v>
      </c>
      <c r="G77">
        <v>1773052282</v>
      </c>
      <c r="H77">
        <v>82.242000000000004</v>
      </c>
      <c r="I77">
        <v>-43.618000000000002</v>
      </c>
      <c r="J77">
        <v>43.618000000000002</v>
      </c>
      <c r="K77">
        <v>72.175797991163705</v>
      </c>
      <c r="L77">
        <v>-15.319333076476999</v>
      </c>
      <c r="M77">
        <v>15.319333076476999</v>
      </c>
      <c r="N77" s="2">
        <v>8.6400910442285896E-7</v>
      </c>
      <c r="O77" s="3">
        <v>46090.437824733795</v>
      </c>
      <c r="P77" s="3">
        <v>46090.438271770836</v>
      </c>
      <c r="Q77" s="1" t="s">
        <v>99</v>
      </c>
      <c r="R77" s="1" t="s">
        <v>103</v>
      </c>
      <c r="T77">
        <f t="shared" si="1"/>
        <v>43.618000000000002</v>
      </c>
    </row>
    <row r="78" spans="1:20" x14ac:dyDescent="0.3">
      <c r="A78">
        <v>77</v>
      </c>
      <c r="B78">
        <v>3</v>
      </c>
      <c r="C78">
        <v>1773052230.0669999</v>
      </c>
      <c r="D78">
        <v>1773052348.7913301</v>
      </c>
      <c r="E78">
        <v>118.72433333333301</v>
      </c>
      <c r="F78">
        <v>1773052204</v>
      </c>
      <c r="G78">
        <v>1773052325</v>
      </c>
      <c r="H78">
        <v>121.71</v>
      </c>
      <c r="I78">
        <v>-2.9856666666666598</v>
      </c>
      <c r="J78">
        <v>2.9856666666666598</v>
      </c>
      <c r="K78">
        <v>2.4835610000235602</v>
      </c>
      <c r="L78">
        <v>23.791333198547299</v>
      </c>
      <c r="M78">
        <v>23.791333198547299</v>
      </c>
      <c r="N78" s="2">
        <v>1.34182915548912E-6</v>
      </c>
      <c r="O78" s="3">
        <v>46090.437847997688</v>
      </c>
      <c r="P78" s="3">
        <v>46090.439222118053</v>
      </c>
      <c r="Q78" s="1" t="s">
        <v>101</v>
      </c>
      <c r="R78" s="1" t="s">
        <v>104</v>
      </c>
      <c r="T78">
        <f t="shared" si="1"/>
        <v>2.9856666666669867</v>
      </c>
    </row>
    <row r="79" spans="1:20" x14ac:dyDescent="0.3">
      <c r="A79">
        <v>78</v>
      </c>
      <c r="B79">
        <v>4</v>
      </c>
      <c r="C79">
        <v>1773052250.6036601</v>
      </c>
      <c r="D79">
        <v>1773052323.60199</v>
      </c>
      <c r="E79">
        <v>72.998333333333306</v>
      </c>
      <c r="F79">
        <v>1773052239</v>
      </c>
      <c r="G79">
        <v>1773052290</v>
      </c>
      <c r="H79">
        <v>50.738</v>
      </c>
      <c r="I79">
        <v>22.2603333333333</v>
      </c>
      <c r="J79">
        <v>22.2603333333333</v>
      </c>
      <c r="K79">
        <v>35.9802698749222</v>
      </c>
      <c r="L79">
        <v>33.601999521255401</v>
      </c>
      <c r="M79">
        <v>33.601999521255401</v>
      </c>
      <c r="N79" s="2">
        <v>1.89514992831098E-6</v>
      </c>
      <c r="O79" s="3">
        <v>46090.438085694441</v>
      </c>
      <c r="P79" s="3">
        <v>46090.438930578704</v>
      </c>
      <c r="Q79" s="1" t="s">
        <v>105</v>
      </c>
      <c r="R79" s="1" t="s">
        <v>106</v>
      </c>
      <c r="T79">
        <f t="shared" si="1"/>
        <v>-22.260333333333307</v>
      </c>
    </row>
    <row r="80" spans="1:20" x14ac:dyDescent="0.3">
      <c r="A80">
        <v>79</v>
      </c>
      <c r="B80">
        <v>1</v>
      </c>
      <c r="C80">
        <v>1773052266.68066</v>
      </c>
      <c r="D80">
        <v>1773052314.1373301</v>
      </c>
      <c r="E80">
        <v>47.456666666666599</v>
      </c>
      <c r="F80">
        <v>1773052277</v>
      </c>
      <c r="G80">
        <v>1773052318</v>
      </c>
      <c r="H80">
        <v>40.99</v>
      </c>
      <c r="I80">
        <v>6.4666666666666597</v>
      </c>
      <c r="J80">
        <v>6.4666666666666597</v>
      </c>
      <c r="K80">
        <v>14.622748172156401</v>
      </c>
      <c r="L80">
        <v>-3.86266636848449</v>
      </c>
      <c r="M80">
        <v>3.86266636848449</v>
      </c>
      <c r="N80" s="2">
        <v>2.1785405503708199E-7</v>
      </c>
      <c r="O80" s="3">
        <v>46090.438271770836</v>
      </c>
      <c r="P80" s="3">
        <v>46090.438821030089</v>
      </c>
      <c r="Q80" s="1" t="s">
        <v>100</v>
      </c>
      <c r="R80" s="1" t="s">
        <v>107</v>
      </c>
      <c r="T80">
        <f t="shared" si="1"/>
        <v>-6.4666666666665975</v>
      </c>
    </row>
    <row r="81" spans="1:20" x14ac:dyDescent="0.3">
      <c r="A81">
        <v>80</v>
      </c>
      <c r="B81">
        <v>2</v>
      </c>
      <c r="C81">
        <v>1773052303.33566</v>
      </c>
      <c r="D81">
        <v>1773052356.1470001</v>
      </c>
      <c r="E81">
        <v>52.811333333333302</v>
      </c>
      <c r="F81">
        <v>1773052282</v>
      </c>
      <c r="G81">
        <v>1773052336</v>
      </c>
      <c r="H81">
        <v>54.497999999999998</v>
      </c>
      <c r="I81">
        <v>-1.6866666666666601</v>
      </c>
      <c r="J81">
        <v>1.6866666666666601</v>
      </c>
      <c r="K81">
        <v>3.14356005069456</v>
      </c>
      <c r="L81">
        <v>20.147000074386501</v>
      </c>
      <c r="M81">
        <v>20.147000074386501</v>
      </c>
      <c r="N81" s="2">
        <v>1.13628907341641E-6</v>
      </c>
      <c r="O81" s="3">
        <v>46090.438696018522</v>
      </c>
      <c r="P81" s="3">
        <v>46090.439307256944</v>
      </c>
      <c r="Q81" s="1" t="s">
        <v>103</v>
      </c>
      <c r="R81" s="1" t="s">
        <v>108</v>
      </c>
      <c r="T81">
        <f t="shared" si="1"/>
        <v>1.6866666666666958</v>
      </c>
    </row>
    <row r="82" spans="1:20" x14ac:dyDescent="0.3">
      <c r="A82">
        <v>81</v>
      </c>
      <c r="B82">
        <v>1</v>
      </c>
      <c r="C82">
        <v>1773052314.1373301</v>
      </c>
      <c r="D82">
        <v>1773052355.1816599</v>
      </c>
      <c r="E82">
        <v>41.044333333333299</v>
      </c>
      <c r="F82">
        <v>1773052290</v>
      </c>
      <c r="G82">
        <v>1773052362</v>
      </c>
      <c r="H82">
        <v>71.611000000000004</v>
      </c>
      <c r="I82">
        <v>-30.566666666666599</v>
      </c>
      <c r="J82">
        <v>30.566666666666599</v>
      </c>
      <c r="K82">
        <v>54.265813720906799</v>
      </c>
      <c r="L82">
        <v>-6.8183331489562899</v>
      </c>
      <c r="M82">
        <v>6.8183331489562899</v>
      </c>
      <c r="N82" s="2">
        <v>3.8455340114012698E-7</v>
      </c>
      <c r="O82" s="3">
        <v>46090.438821030089</v>
      </c>
      <c r="P82" s="3">
        <v>46090.439296087963</v>
      </c>
      <c r="Q82" s="1" t="s">
        <v>106</v>
      </c>
      <c r="R82" s="1" t="s">
        <v>109</v>
      </c>
      <c r="T82">
        <f t="shared" si="1"/>
        <v>30.566666666666706</v>
      </c>
    </row>
    <row r="83" spans="1:20" x14ac:dyDescent="0.3">
      <c r="A83">
        <v>82</v>
      </c>
      <c r="B83">
        <v>4</v>
      </c>
      <c r="C83">
        <v>1773052323.60199</v>
      </c>
      <c r="D83">
        <v>1773052362.0633299</v>
      </c>
      <c r="E83">
        <v>38.4613333333333</v>
      </c>
      <c r="F83">
        <v>1773052318</v>
      </c>
      <c r="G83">
        <v>1773052375</v>
      </c>
      <c r="H83">
        <v>57.381999999999998</v>
      </c>
      <c r="I83">
        <v>-18.920666666666602</v>
      </c>
      <c r="J83">
        <v>18.920666666666602</v>
      </c>
      <c r="K83">
        <v>39.482488783778997</v>
      </c>
      <c r="L83">
        <v>-12.936667203903101</v>
      </c>
      <c r="M83">
        <v>12.936667203903101</v>
      </c>
      <c r="N83" s="2">
        <v>7.2962690970129401E-7</v>
      </c>
      <c r="O83" s="3">
        <v>46090.438930578704</v>
      </c>
      <c r="P83" s="3">
        <v>46090.439375729169</v>
      </c>
      <c r="Q83" s="1" t="s">
        <v>107</v>
      </c>
      <c r="R83" s="1" t="s">
        <v>110</v>
      </c>
      <c r="T83">
        <f t="shared" si="1"/>
        <v>18.920666666666698</v>
      </c>
    </row>
    <row r="84" spans="1:20" x14ac:dyDescent="0.3">
      <c r="A84">
        <v>83</v>
      </c>
      <c r="B84">
        <v>3</v>
      </c>
      <c r="C84">
        <v>1773052348.7913301</v>
      </c>
      <c r="D84">
        <v>1773052387.5549901</v>
      </c>
      <c r="E84">
        <v>38.763666666666602</v>
      </c>
      <c r="F84">
        <v>1773052325</v>
      </c>
      <c r="G84">
        <v>1773052382</v>
      </c>
      <c r="H84">
        <v>56.749000000000002</v>
      </c>
      <c r="I84">
        <v>-17.985333333333301</v>
      </c>
      <c r="J84">
        <v>17.985333333333301</v>
      </c>
      <c r="K84">
        <v>37.660624419797699</v>
      </c>
      <c r="L84">
        <v>5.5549998283386204</v>
      </c>
      <c r="M84">
        <v>5.5549998283386204</v>
      </c>
      <c r="N84" s="2">
        <v>3.13301506262925E-7</v>
      </c>
      <c r="O84" s="3">
        <v>46090.439222118053</v>
      </c>
      <c r="P84" s="3">
        <v>46090.439670775464</v>
      </c>
      <c r="Q84" s="1" t="s">
        <v>104</v>
      </c>
      <c r="R84" s="1" t="s">
        <v>111</v>
      </c>
      <c r="T84">
        <f t="shared" si="1"/>
        <v>17.985333333333401</v>
      </c>
    </row>
    <row r="85" spans="1:20" x14ac:dyDescent="0.3">
      <c r="A85">
        <v>84</v>
      </c>
      <c r="B85">
        <v>1</v>
      </c>
      <c r="C85">
        <v>1773052355.1816599</v>
      </c>
      <c r="D85">
        <v>1773052397.4943299</v>
      </c>
      <c r="E85">
        <v>42.312666666666601</v>
      </c>
      <c r="F85">
        <v>1773052336</v>
      </c>
      <c r="G85">
        <v>1773052393</v>
      </c>
      <c r="H85">
        <v>56.865000000000002</v>
      </c>
      <c r="I85">
        <v>-14.5523333333333</v>
      </c>
      <c r="J85">
        <v>14.5523333333333</v>
      </c>
      <c r="K85">
        <v>29.345988512198598</v>
      </c>
      <c r="L85">
        <v>4.4943335056304896</v>
      </c>
      <c r="M85">
        <v>4.4943335056304896</v>
      </c>
      <c r="N85" s="2">
        <v>2.53480016590484E-7</v>
      </c>
      <c r="O85" s="3">
        <v>46090.439296087963</v>
      </c>
      <c r="P85" s="3">
        <v>46090.439785810187</v>
      </c>
      <c r="Q85" s="1" t="s">
        <v>108</v>
      </c>
      <c r="R85" s="1" t="s">
        <v>112</v>
      </c>
      <c r="T85">
        <f t="shared" si="1"/>
        <v>14.552333333333401</v>
      </c>
    </row>
    <row r="86" spans="1:20" x14ac:dyDescent="0.3">
      <c r="A86">
        <v>85</v>
      </c>
      <c r="B86">
        <v>2</v>
      </c>
      <c r="C86">
        <v>1773052356.1470001</v>
      </c>
      <c r="D86">
        <v>1773052382.0403299</v>
      </c>
      <c r="E86">
        <v>25.893333333333299</v>
      </c>
      <c r="F86">
        <v>1773052361</v>
      </c>
      <c r="G86">
        <v>1773052398</v>
      </c>
      <c r="H86">
        <v>36.167000000000002</v>
      </c>
      <c r="I86">
        <v>-10.2736666666666</v>
      </c>
      <c r="J86">
        <v>10.2736666666666</v>
      </c>
      <c r="K86">
        <v>33.1086415907101</v>
      </c>
      <c r="L86">
        <v>-15.959666490554801</v>
      </c>
      <c r="M86">
        <v>15.959666490554801</v>
      </c>
      <c r="N86" s="2">
        <v>9.0012379670142004E-7</v>
      </c>
      <c r="O86" s="3">
        <v>46090.439307256944</v>
      </c>
      <c r="P86" s="3">
        <v>46090.439606944441</v>
      </c>
      <c r="Q86" s="1" t="s">
        <v>113</v>
      </c>
      <c r="R86" s="1" t="s">
        <v>114</v>
      </c>
      <c r="T86">
        <f t="shared" si="1"/>
        <v>10.273666666666703</v>
      </c>
    </row>
    <row r="87" spans="1:20" x14ac:dyDescent="0.3">
      <c r="A87">
        <v>86</v>
      </c>
      <c r="B87">
        <v>4</v>
      </c>
      <c r="C87">
        <v>1773052362.0633299</v>
      </c>
      <c r="D87">
        <v>1773052498.78599</v>
      </c>
      <c r="E87">
        <v>136.72266666666599</v>
      </c>
      <c r="F87">
        <v>1773052375</v>
      </c>
      <c r="G87">
        <v>1773052491</v>
      </c>
      <c r="H87">
        <v>115.643</v>
      </c>
      <c r="I87">
        <v>21.079666666666601</v>
      </c>
      <c r="J87">
        <v>21.079666666666601</v>
      </c>
      <c r="K87">
        <v>16.705653304662398</v>
      </c>
      <c r="L87">
        <v>7.7859995365142796</v>
      </c>
      <c r="M87">
        <v>7.7859995365142796</v>
      </c>
      <c r="N87" s="2">
        <v>4.3912966812548597E-7</v>
      </c>
      <c r="O87" s="3">
        <v>46090.439375729169</v>
      </c>
      <c r="P87" s="3">
        <v>46090.440958171297</v>
      </c>
      <c r="Q87" s="1" t="s">
        <v>110</v>
      </c>
      <c r="R87" s="1" t="s">
        <v>115</v>
      </c>
      <c r="T87">
        <f t="shared" si="1"/>
        <v>-21.079666666665986</v>
      </c>
    </row>
    <row r="88" spans="1:20" x14ac:dyDescent="0.3">
      <c r="A88">
        <v>87</v>
      </c>
      <c r="B88">
        <v>2</v>
      </c>
      <c r="C88">
        <v>1773052382.0403299</v>
      </c>
      <c r="D88">
        <v>1773052422.7843299</v>
      </c>
      <c r="E88">
        <v>40.744</v>
      </c>
      <c r="F88">
        <v>1773052381</v>
      </c>
      <c r="G88">
        <v>1773052452</v>
      </c>
      <c r="H88">
        <v>70.22</v>
      </c>
      <c r="I88">
        <v>-29.4759999999999</v>
      </c>
      <c r="J88">
        <v>29.4759999999999</v>
      </c>
      <c r="K88">
        <v>53.127140333801897</v>
      </c>
      <c r="L88">
        <v>-29.215666532516401</v>
      </c>
      <c r="M88">
        <v>29.215666532516401</v>
      </c>
      <c r="N88" s="2">
        <v>1.64776099772251E-6</v>
      </c>
      <c r="O88" s="3">
        <v>46090.439606944441</v>
      </c>
      <c r="P88" s="3">
        <v>46090.440078518521</v>
      </c>
      <c r="Q88" s="1" t="s">
        <v>116</v>
      </c>
      <c r="R88" s="1" t="s">
        <v>117</v>
      </c>
      <c r="T88">
        <f t="shared" si="1"/>
        <v>29.475999999999999</v>
      </c>
    </row>
    <row r="89" spans="1:20" x14ac:dyDescent="0.3">
      <c r="A89">
        <v>88</v>
      </c>
      <c r="B89">
        <v>3</v>
      </c>
      <c r="C89">
        <v>1773052387.5549901</v>
      </c>
      <c r="D89">
        <v>1773052441.3399999</v>
      </c>
      <c r="E89">
        <v>53.784999999999997</v>
      </c>
      <c r="F89">
        <v>1773052393</v>
      </c>
      <c r="G89">
        <v>1773052430</v>
      </c>
      <c r="H89">
        <v>36.491</v>
      </c>
      <c r="I89">
        <v>17.294</v>
      </c>
      <c r="J89">
        <v>17.294</v>
      </c>
      <c r="K89">
        <v>38.313616021976998</v>
      </c>
      <c r="L89">
        <v>11.339999914169301</v>
      </c>
      <c r="M89">
        <v>11.339999914169301</v>
      </c>
      <c r="N89" s="2">
        <v>6.3957498864855395E-7</v>
      </c>
      <c r="O89" s="3">
        <v>46090.439670775464</v>
      </c>
      <c r="P89" s="3">
        <v>46090.440293287036</v>
      </c>
      <c r="Q89" s="1" t="s">
        <v>112</v>
      </c>
      <c r="R89" s="1" t="s">
        <v>118</v>
      </c>
      <c r="T89">
        <f t="shared" si="1"/>
        <v>-17.293999999999997</v>
      </c>
    </row>
    <row r="90" spans="1:20" x14ac:dyDescent="0.3">
      <c r="A90">
        <v>89</v>
      </c>
      <c r="B90">
        <v>1</v>
      </c>
      <c r="C90">
        <v>1773052397.4943299</v>
      </c>
      <c r="D90">
        <v>1773052451.98</v>
      </c>
      <c r="E90">
        <v>54.485666666666603</v>
      </c>
      <c r="F90">
        <v>1773052398</v>
      </c>
      <c r="G90">
        <v>1773052443</v>
      </c>
      <c r="H90">
        <v>45.317</v>
      </c>
      <c r="I90">
        <v>9.1686666666666596</v>
      </c>
      <c r="J90">
        <v>9.1686666666666596</v>
      </c>
      <c r="K90">
        <v>18.373590552022598</v>
      </c>
      <c r="L90">
        <v>8.9800002574920601</v>
      </c>
      <c r="M90">
        <v>8.9800002574920601</v>
      </c>
      <c r="N90" s="2">
        <v>5.0647121410336599E-7</v>
      </c>
      <c r="O90" s="3">
        <v>46090.439785810187</v>
      </c>
      <c r="P90" s="3">
        <v>46090.440416435187</v>
      </c>
      <c r="Q90" s="1" t="s">
        <v>114</v>
      </c>
      <c r="R90" s="1" t="s">
        <v>119</v>
      </c>
      <c r="T90">
        <f t="shared" si="1"/>
        <v>-9.1686666666666028</v>
      </c>
    </row>
    <row r="91" spans="1:20" x14ac:dyDescent="0.3">
      <c r="A91">
        <v>90</v>
      </c>
      <c r="B91">
        <v>2</v>
      </c>
      <c r="C91">
        <v>1773052422.7843299</v>
      </c>
      <c r="D91">
        <v>1773052456.1983299</v>
      </c>
      <c r="E91">
        <v>33.414000000000001</v>
      </c>
      <c r="F91">
        <v>1773052430</v>
      </c>
      <c r="G91">
        <v>1773052466</v>
      </c>
      <c r="H91">
        <v>36.069000000000003</v>
      </c>
      <c r="I91">
        <v>-2.6549999999999998</v>
      </c>
      <c r="J91">
        <v>2.6549999999999998</v>
      </c>
      <c r="K91">
        <v>7.6421570743923004</v>
      </c>
      <c r="L91">
        <v>-9.8016664981842005</v>
      </c>
      <c r="M91">
        <v>9.8016664981842005</v>
      </c>
      <c r="N91" s="2">
        <v>5.5281311259723599E-7</v>
      </c>
      <c r="O91" s="3">
        <v>46090.440078518521</v>
      </c>
      <c r="P91" s="3">
        <v>46090.440465254629</v>
      </c>
      <c r="Q91" s="1" t="s">
        <v>118</v>
      </c>
      <c r="R91" s="1" t="s">
        <v>120</v>
      </c>
      <c r="T91">
        <f t="shared" si="1"/>
        <v>2.6550000000000011</v>
      </c>
    </row>
    <row r="92" spans="1:20" x14ac:dyDescent="0.3">
      <c r="A92">
        <v>91</v>
      </c>
      <c r="B92">
        <v>3</v>
      </c>
      <c r="C92">
        <v>1773052441.3399999</v>
      </c>
      <c r="D92">
        <v>1773052556.38166</v>
      </c>
      <c r="E92">
        <v>115.041666666666</v>
      </c>
      <c r="F92">
        <v>1773052443</v>
      </c>
      <c r="G92">
        <v>1773052568</v>
      </c>
      <c r="H92">
        <v>125.39</v>
      </c>
      <c r="I92">
        <v>-10.348333333333301</v>
      </c>
      <c r="J92">
        <v>10.348333333333301</v>
      </c>
      <c r="K92">
        <v>8.6081284356608503</v>
      </c>
      <c r="L92">
        <v>-11.6183333396911</v>
      </c>
      <c r="M92">
        <v>11.6183333396911</v>
      </c>
      <c r="N92" s="2">
        <v>6.5527292238506502E-7</v>
      </c>
      <c r="O92" s="3">
        <v>46090.440293287036</v>
      </c>
      <c r="P92" s="3">
        <v>46090.441624791667</v>
      </c>
      <c r="Q92" s="1" t="s">
        <v>119</v>
      </c>
      <c r="R92" s="1" t="s">
        <v>121</v>
      </c>
      <c r="T92">
        <f t="shared" si="1"/>
        <v>10.348333333333997</v>
      </c>
    </row>
    <row r="93" spans="1:20" x14ac:dyDescent="0.3">
      <c r="A93">
        <v>92</v>
      </c>
      <c r="B93">
        <v>1</v>
      </c>
      <c r="C93">
        <v>1773052451.98</v>
      </c>
      <c r="D93">
        <v>1773052498.7119999</v>
      </c>
      <c r="E93">
        <v>46.731999999999999</v>
      </c>
      <c r="F93">
        <v>1773052452</v>
      </c>
      <c r="G93">
        <v>1773052489</v>
      </c>
      <c r="H93">
        <v>37.015999999999998</v>
      </c>
      <c r="I93">
        <v>9.7159999999999993</v>
      </c>
      <c r="J93">
        <v>9.7159999999999993</v>
      </c>
      <c r="K93">
        <v>23.2029421598127</v>
      </c>
      <c r="L93">
        <v>9.7120003700256294</v>
      </c>
      <c r="M93">
        <v>9.7120003700256294</v>
      </c>
      <c r="N93" s="2">
        <v>5.4775594088047298E-7</v>
      </c>
      <c r="O93" s="3">
        <v>46090.440416435187</v>
      </c>
      <c r="P93" s="3">
        <v>46090.440957314815</v>
      </c>
      <c r="Q93" s="1" t="s">
        <v>117</v>
      </c>
      <c r="R93" s="1" t="s">
        <v>122</v>
      </c>
      <c r="T93">
        <f t="shared" si="1"/>
        <v>-9.7160000000000011</v>
      </c>
    </row>
    <row r="94" spans="1:20" x14ac:dyDescent="0.3">
      <c r="A94">
        <v>93</v>
      </c>
      <c r="B94">
        <v>2</v>
      </c>
      <c r="C94">
        <v>1773052456.1983299</v>
      </c>
      <c r="D94">
        <v>1773052503.74733</v>
      </c>
      <c r="E94">
        <v>47.548999999999999</v>
      </c>
      <c r="F94">
        <v>1773052466</v>
      </c>
      <c r="G94">
        <v>1773052514</v>
      </c>
      <c r="H94">
        <v>48.18</v>
      </c>
      <c r="I94">
        <v>-0.63100000000000001</v>
      </c>
      <c r="J94">
        <v>0.63100000000000001</v>
      </c>
      <c r="K94">
        <v>1.31830479791912</v>
      </c>
      <c r="L94">
        <v>-10.252666473388601</v>
      </c>
      <c r="M94">
        <v>10.252666473388601</v>
      </c>
      <c r="N94" s="2">
        <v>5.7824945522350496E-7</v>
      </c>
      <c r="O94" s="3">
        <v>46090.440465254629</v>
      </c>
      <c r="P94" s="3">
        <v>46090.441015590281</v>
      </c>
      <c r="Q94" s="1" t="s">
        <v>120</v>
      </c>
      <c r="R94" s="1" t="s">
        <v>123</v>
      </c>
      <c r="T94">
        <f t="shared" si="1"/>
        <v>0.63100000000000023</v>
      </c>
    </row>
    <row r="95" spans="1:20" x14ac:dyDescent="0.3">
      <c r="A95">
        <v>94</v>
      </c>
      <c r="B95">
        <v>1</v>
      </c>
      <c r="C95">
        <v>1773052498.7119999</v>
      </c>
      <c r="D95">
        <v>1773052542.9683299</v>
      </c>
      <c r="E95">
        <v>44.256333333333302</v>
      </c>
      <c r="F95">
        <v>1773052489</v>
      </c>
      <c r="G95">
        <v>1773052526</v>
      </c>
      <c r="H95">
        <v>37.222000000000001</v>
      </c>
      <c r="I95">
        <v>7.03433333333333</v>
      </c>
      <c r="J95">
        <v>7.03433333333333</v>
      </c>
      <c r="K95">
        <v>17.266758033833099</v>
      </c>
      <c r="L95">
        <v>16.9683337211608</v>
      </c>
      <c r="M95">
        <v>16.9683337211608</v>
      </c>
      <c r="N95" s="2">
        <v>9.5701246247040695E-7</v>
      </c>
      <c r="O95" s="3">
        <v>46090.440957314815</v>
      </c>
      <c r="P95" s="3">
        <v>46090.441469537036</v>
      </c>
      <c r="Q95" s="1" t="s">
        <v>122</v>
      </c>
      <c r="R95" s="1" t="s">
        <v>124</v>
      </c>
      <c r="T95">
        <f t="shared" si="1"/>
        <v>-7.0343333333333007</v>
      </c>
    </row>
    <row r="96" spans="1:20" x14ac:dyDescent="0.3">
      <c r="A96">
        <v>95</v>
      </c>
      <c r="B96">
        <v>4</v>
      </c>
      <c r="C96">
        <v>1773052498.78599</v>
      </c>
      <c r="D96">
        <v>1773052551.07599</v>
      </c>
      <c r="E96">
        <v>52.29</v>
      </c>
      <c r="F96">
        <v>1773052490</v>
      </c>
      <c r="G96">
        <v>1773052534</v>
      </c>
      <c r="H96">
        <v>43.173000000000002</v>
      </c>
      <c r="I96">
        <v>9.1169999999999902</v>
      </c>
      <c r="J96">
        <v>9.1169999999999902</v>
      </c>
      <c r="K96">
        <v>19.1005939473932</v>
      </c>
      <c r="L96">
        <v>17.075999498367299</v>
      </c>
      <c r="M96">
        <v>17.075999498367299</v>
      </c>
      <c r="N96" s="2">
        <v>9.6308479803560805E-7</v>
      </c>
      <c r="O96" s="3">
        <v>46090.440958171297</v>
      </c>
      <c r="P96" s="3">
        <v>46090.441563379631</v>
      </c>
      <c r="Q96" s="1" t="s">
        <v>125</v>
      </c>
      <c r="R96" s="1" t="s">
        <v>126</v>
      </c>
      <c r="T96">
        <f t="shared" si="1"/>
        <v>-9.1169999999999973</v>
      </c>
    </row>
    <row r="97" spans="1:20" x14ac:dyDescent="0.3">
      <c r="A97">
        <v>96</v>
      </c>
      <c r="B97">
        <v>2</v>
      </c>
      <c r="C97">
        <v>1773052503.74733</v>
      </c>
      <c r="D97">
        <v>1773052641.8010001</v>
      </c>
      <c r="E97">
        <v>138.053666666666</v>
      </c>
      <c r="F97">
        <v>1773052514</v>
      </c>
      <c r="G97">
        <v>1773052605</v>
      </c>
      <c r="H97">
        <v>91.207999999999998</v>
      </c>
      <c r="I97">
        <v>46.845666666666602</v>
      </c>
      <c r="J97">
        <v>46.845666666666602</v>
      </c>
      <c r="K97">
        <v>40.8665498666007</v>
      </c>
      <c r="L97">
        <v>36.801000118255601</v>
      </c>
      <c r="M97">
        <v>36.801000118255601</v>
      </c>
      <c r="N97" s="2">
        <v>2.0755729205417302E-6</v>
      </c>
      <c r="O97" s="3">
        <v>46090.441015590281</v>
      </c>
      <c r="P97" s="3">
        <v>46090.442613437503</v>
      </c>
      <c r="Q97" s="1" t="s">
        <v>123</v>
      </c>
      <c r="R97" s="1" t="s">
        <v>127</v>
      </c>
      <c r="T97">
        <f t="shared" si="1"/>
        <v>-46.845666666666006</v>
      </c>
    </row>
    <row r="98" spans="1:20" x14ac:dyDescent="0.3">
      <c r="A98">
        <v>97</v>
      </c>
      <c r="B98">
        <v>1</v>
      </c>
      <c r="C98">
        <v>1773052542.9683299</v>
      </c>
      <c r="D98">
        <v>1773052589.5766599</v>
      </c>
      <c r="E98">
        <v>46.608333333333299</v>
      </c>
      <c r="F98">
        <v>1773052526</v>
      </c>
      <c r="G98">
        <v>1773052581</v>
      </c>
      <c r="H98">
        <v>55.259</v>
      </c>
      <c r="I98">
        <v>-8.6506666666666696</v>
      </c>
      <c r="J98">
        <v>8.6506666666666696</v>
      </c>
      <c r="K98">
        <v>16.984182040693401</v>
      </c>
      <c r="L98">
        <v>8.5766670703887904</v>
      </c>
      <c r="M98">
        <v>8.5766670703887904</v>
      </c>
      <c r="N98" s="2">
        <v>4.8372322070718799E-7</v>
      </c>
      <c r="O98" s="3">
        <v>46090.441469537036</v>
      </c>
      <c r="P98" s="3">
        <v>46090.442008993057</v>
      </c>
      <c r="Q98" s="1" t="s">
        <v>124</v>
      </c>
      <c r="R98" s="1" t="s">
        <v>128</v>
      </c>
      <c r="T98">
        <f t="shared" si="1"/>
        <v>8.6506666666667016</v>
      </c>
    </row>
    <row r="99" spans="1:20" x14ac:dyDescent="0.3">
      <c r="A99">
        <v>98</v>
      </c>
      <c r="B99">
        <v>4</v>
      </c>
      <c r="C99">
        <v>1773052551.07599</v>
      </c>
      <c r="D99">
        <v>1773052614.8476601</v>
      </c>
      <c r="E99">
        <v>63.771666666666597</v>
      </c>
      <c r="F99">
        <v>1773052533</v>
      </c>
      <c r="G99">
        <v>1773052577</v>
      </c>
      <c r="H99">
        <v>43.234000000000002</v>
      </c>
      <c r="I99">
        <v>20.537666666666599</v>
      </c>
      <c r="J99">
        <v>20.537666666666599</v>
      </c>
      <c r="K99">
        <v>38.386129083506397</v>
      </c>
      <c r="L99">
        <v>37.847666263580301</v>
      </c>
      <c r="M99">
        <v>37.847666263580301</v>
      </c>
      <c r="N99" s="2">
        <v>2.13460482506781E-6</v>
      </c>
      <c r="O99" s="3">
        <v>46090.441563379631</v>
      </c>
      <c r="P99" s="3">
        <v>46090.442301481482</v>
      </c>
      <c r="Q99" s="1" t="s">
        <v>129</v>
      </c>
      <c r="R99" s="1" t="s">
        <v>130</v>
      </c>
      <c r="T99">
        <f t="shared" si="1"/>
        <v>-20.537666666666595</v>
      </c>
    </row>
    <row r="100" spans="1:20" x14ac:dyDescent="0.3">
      <c r="A100">
        <v>99</v>
      </c>
      <c r="B100">
        <v>3</v>
      </c>
      <c r="C100">
        <v>1773052556.38166</v>
      </c>
      <c r="D100">
        <v>1773052610.5316601</v>
      </c>
      <c r="E100">
        <v>54.15</v>
      </c>
      <c r="F100">
        <v>1773052568</v>
      </c>
      <c r="G100">
        <v>1773052603</v>
      </c>
      <c r="H100">
        <v>34.659999999999997</v>
      </c>
      <c r="I100">
        <v>19.489999999999998</v>
      </c>
      <c r="J100">
        <v>19.489999999999998</v>
      </c>
      <c r="K100">
        <v>43.891453665127798</v>
      </c>
      <c r="L100">
        <v>7.5316667556762598</v>
      </c>
      <c r="M100">
        <v>7.5316667556762598</v>
      </c>
      <c r="N100" s="2">
        <v>4.2478529553697401E-7</v>
      </c>
      <c r="O100" s="3">
        <v>46090.441624791667</v>
      </c>
      <c r="P100" s="3">
        <v>46090.442251527777</v>
      </c>
      <c r="Q100" s="1" t="s">
        <v>121</v>
      </c>
      <c r="R100" s="1" t="s">
        <v>131</v>
      </c>
      <c r="T100">
        <f t="shared" si="1"/>
        <v>-19.490000000000002</v>
      </c>
    </row>
    <row r="101" spans="1:20" x14ac:dyDescent="0.3">
      <c r="A101">
        <v>100</v>
      </c>
      <c r="B101">
        <v>1</v>
      </c>
      <c r="C101">
        <v>1773052589.5766599</v>
      </c>
      <c r="D101">
        <v>1773052698.9909999</v>
      </c>
      <c r="E101">
        <v>109.414333333333</v>
      </c>
      <c r="F101">
        <v>1773052577</v>
      </c>
      <c r="G101">
        <v>1773052683</v>
      </c>
      <c r="H101">
        <v>106.506</v>
      </c>
      <c r="I101">
        <v>2.9083333333333399</v>
      </c>
      <c r="J101">
        <v>2.9083333333333399</v>
      </c>
      <c r="K101">
        <v>2.6938948161436098</v>
      </c>
      <c r="L101">
        <v>15.9910004138946</v>
      </c>
      <c r="M101">
        <v>15.9910004138946</v>
      </c>
      <c r="N101" s="2">
        <v>9.01890874146347E-7</v>
      </c>
      <c r="O101" s="3">
        <v>46090.442008993057</v>
      </c>
      <c r="P101" s="3">
        <v>46090.443275358797</v>
      </c>
      <c r="Q101" s="1" t="s">
        <v>130</v>
      </c>
      <c r="R101" s="1" t="s">
        <v>132</v>
      </c>
      <c r="T101">
        <f t="shared" si="1"/>
        <v>-2.9083333333330046</v>
      </c>
    </row>
    <row r="102" spans="1:20" x14ac:dyDescent="0.3">
      <c r="A102">
        <v>101</v>
      </c>
      <c r="B102">
        <v>3</v>
      </c>
      <c r="C102">
        <v>1773052610.5316601</v>
      </c>
      <c r="D102">
        <v>1773052682.154</v>
      </c>
      <c r="E102">
        <v>71.622333333333302</v>
      </c>
      <c r="F102">
        <v>1773052581</v>
      </c>
      <c r="G102">
        <v>1773052613</v>
      </c>
      <c r="H102">
        <v>31.963999999999999</v>
      </c>
      <c r="I102">
        <v>39.658333333333303</v>
      </c>
      <c r="J102">
        <v>39.658333333333303</v>
      </c>
      <c r="K102">
        <v>76.570590071405803</v>
      </c>
      <c r="L102">
        <v>69.154000043869004</v>
      </c>
      <c r="M102">
        <v>69.154000043869004</v>
      </c>
      <c r="N102" s="2">
        <v>3.90027899839143E-6</v>
      </c>
      <c r="O102" s="3">
        <v>46090.442251527777</v>
      </c>
      <c r="P102" s="3">
        <v>46090.443080486111</v>
      </c>
      <c r="Q102" s="1" t="s">
        <v>128</v>
      </c>
      <c r="R102" s="1" t="s">
        <v>133</v>
      </c>
      <c r="T102">
        <f t="shared" si="1"/>
        <v>-39.658333333333303</v>
      </c>
    </row>
    <row r="103" spans="1:20" x14ac:dyDescent="0.3">
      <c r="A103">
        <v>102</v>
      </c>
      <c r="B103">
        <v>4</v>
      </c>
      <c r="C103">
        <v>1773052614.8476601</v>
      </c>
      <c r="D103">
        <v>1773052668.41733</v>
      </c>
      <c r="E103">
        <v>53.569666666666599</v>
      </c>
      <c r="F103">
        <v>1773052603</v>
      </c>
      <c r="G103">
        <v>1773052634</v>
      </c>
      <c r="H103">
        <v>31.568000000000001</v>
      </c>
      <c r="I103">
        <v>22.001666666666601</v>
      </c>
      <c r="J103">
        <v>22.001666666666601</v>
      </c>
      <c r="K103">
        <v>51.684918152169203</v>
      </c>
      <c r="L103">
        <v>34.417332887649501</v>
      </c>
      <c r="M103">
        <v>34.417332887649501</v>
      </c>
      <c r="N103" s="2">
        <v>1.94113428409402E-6</v>
      </c>
      <c r="O103" s="3">
        <v>46090.442301481482</v>
      </c>
      <c r="P103" s="3">
        <v>46090.442921493057</v>
      </c>
      <c r="Q103" s="1" t="s">
        <v>131</v>
      </c>
      <c r="R103" s="1" t="s">
        <v>134</v>
      </c>
      <c r="T103">
        <f t="shared" si="1"/>
        <v>-22.001666666666598</v>
      </c>
    </row>
    <row r="104" spans="1:20" x14ac:dyDescent="0.3">
      <c r="A104">
        <v>103</v>
      </c>
      <c r="B104">
        <v>2</v>
      </c>
      <c r="C104">
        <v>1773052641.8010001</v>
      </c>
      <c r="D104">
        <v>1773052750.68366</v>
      </c>
      <c r="E104">
        <v>108.882666666666</v>
      </c>
      <c r="F104">
        <v>1773052605</v>
      </c>
      <c r="G104">
        <v>1773052705</v>
      </c>
      <c r="H104">
        <v>99.703000000000003</v>
      </c>
      <c r="I104">
        <v>9.1796666666666695</v>
      </c>
      <c r="J104">
        <v>9.1796666666666695</v>
      </c>
      <c r="K104">
        <v>8.8018192365407106</v>
      </c>
      <c r="L104">
        <v>45.683666706085198</v>
      </c>
      <c r="M104">
        <v>45.683666706085198</v>
      </c>
      <c r="N104" s="2">
        <v>2.5765543228763099E-6</v>
      </c>
      <c r="O104" s="3">
        <v>46090.442613437503</v>
      </c>
      <c r="P104" s="3">
        <v>46090.443873657408</v>
      </c>
      <c r="Q104" s="1" t="s">
        <v>127</v>
      </c>
      <c r="R104" s="1" t="s">
        <v>135</v>
      </c>
      <c r="T104">
        <f t="shared" si="1"/>
        <v>-9.1796666666659945</v>
      </c>
    </row>
    <row r="105" spans="1:20" x14ac:dyDescent="0.3">
      <c r="A105">
        <v>104</v>
      </c>
      <c r="B105">
        <v>4</v>
      </c>
      <c r="C105">
        <v>1773052668.41733</v>
      </c>
      <c r="D105">
        <v>1773052709.4579899</v>
      </c>
      <c r="E105">
        <v>41.040666666666603</v>
      </c>
      <c r="F105">
        <v>1773052612</v>
      </c>
      <c r="G105">
        <v>1773052659</v>
      </c>
      <c r="H105">
        <v>46.564</v>
      </c>
      <c r="I105">
        <v>-5.5233333333333396</v>
      </c>
      <c r="J105">
        <v>5.5233333333333396</v>
      </c>
      <c r="K105">
        <v>12.6096783276385</v>
      </c>
      <c r="L105">
        <v>50.457999467849703</v>
      </c>
      <c r="M105">
        <v>50.457999467849703</v>
      </c>
      <c r="N105" s="2">
        <v>2.8458262925103598E-6</v>
      </c>
      <c r="O105" s="3">
        <v>46090.442921493057</v>
      </c>
      <c r="P105" s="3">
        <v>46090.443396504626</v>
      </c>
      <c r="Q105" s="1" t="s">
        <v>136</v>
      </c>
      <c r="R105" s="1" t="s">
        <v>137</v>
      </c>
      <c r="T105">
        <f t="shared" si="1"/>
        <v>5.5233333333333974</v>
      </c>
    </row>
    <row r="106" spans="1:20" x14ac:dyDescent="0.3">
      <c r="A106">
        <v>105</v>
      </c>
      <c r="B106">
        <v>3</v>
      </c>
      <c r="C106">
        <v>1773052682.154</v>
      </c>
      <c r="D106">
        <v>1773052753.2093301</v>
      </c>
      <c r="E106">
        <v>71.055333333333294</v>
      </c>
      <c r="F106">
        <v>1773052634</v>
      </c>
      <c r="G106">
        <v>1773052668</v>
      </c>
      <c r="H106">
        <v>33.265999999999998</v>
      </c>
      <c r="I106">
        <v>37.789333333333303</v>
      </c>
      <c r="J106">
        <v>37.789333333333303</v>
      </c>
      <c r="K106">
        <v>72.447949284901696</v>
      </c>
      <c r="L106">
        <v>85.209333419799805</v>
      </c>
      <c r="M106">
        <v>85.209333419799805</v>
      </c>
      <c r="N106" s="2">
        <v>4.8057980967041102E-6</v>
      </c>
      <c r="O106" s="3">
        <v>46090.443080486111</v>
      </c>
      <c r="P106" s="3">
        <v>46090.443902881947</v>
      </c>
      <c r="Q106" s="1" t="s">
        <v>134</v>
      </c>
      <c r="R106" s="1" t="s">
        <v>138</v>
      </c>
      <c r="T106">
        <f t="shared" si="1"/>
        <v>-37.789333333333296</v>
      </c>
    </row>
    <row r="107" spans="1:20" x14ac:dyDescent="0.3">
      <c r="A107">
        <v>106</v>
      </c>
      <c r="B107">
        <v>1</v>
      </c>
      <c r="C107">
        <v>1773052698.9909999</v>
      </c>
      <c r="D107">
        <v>1773052748.02</v>
      </c>
      <c r="E107">
        <v>49.029000000000003</v>
      </c>
      <c r="F107">
        <v>1773052659</v>
      </c>
      <c r="G107">
        <v>1773052690</v>
      </c>
      <c r="H107">
        <v>31.469000000000001</v>
      </c>
      <c r="I107">
        <v>17.559999999999999</v>
      </c>
      <c r="J107">
        <v>17.559999999999999</v>
      </c>
      <c r="K107">
        <v>43.628413128276399</v>
      </c>
      <c r="L107">
        <v>58.020000457763601</v>
      </c>
      <c r="M107">
        <v>58.020000457763601</v>
      </c>
      <c r="N107" s="2">
        <v>3.2723223531762498E-6</v>
      </c>
      <c r="O107" s="3">
        <v>46090.443275358797</v>
      </c>
      <c r="P107" s="3">
        <v>46090.443842824076</v>
      </c>
      <c r="Q107" s="1" t="s">
        <v>137</v>
      </c>
      <c r="R107" s="1" t="s">
        <v>139</v>
      </c>
      <c r="T107">
        <f t="shared" si="1"/>
        <v>-17.560000000000002</v>
      </c>
    </row>
    <row r="108" spans="1:20" x14ac:dyDescent="0.3">
      <c r="A108">
        <v>107</v>
      </c>
      <c r="B108">
        <v>4</v>
      </c>
      <c r="C108">
        <v>1773052709.4579899</v>
      </c>
      <c r="D108">
        <v>1773052754.4326601</v>
      </c>
      <c r="E108">
        <v>44.9746666666666</v>
      </c>
      <c r="F108">
        <v>1773052667</v>
      </c>
      <c r="G108">
        <v>1773052710</v>
      </c>
      <c r="H108">
        <v>42.173000000000002</v>
      </c>
      <c r="I108">
        <v>2.8016666666666601</v>
      </c>
      <c r="J108">
        <v>2.8016666666666601</v>
      </c>
      <c r="K108">
        <v>6.4296997815967503</v>
      </c>
      <c r="L108">
        <v>44.432666063308702</v>
      </c>
      <c r="M108">
        <v>44.432666063308702</v>
      </c>
      <c r="N108" s="2">
        <v>2.5059980031032299E-6</v>
      </c>
      <c r="O108" s="3">
        <v>46090.443396504626</v>
      </c>
      <c r="P108" s="3">
        <v>46090.443917048608</v>
      </c>
      <c r="Q108" s="1" t="s">
        <v>140</v>
      </c>
      <c r="R108" s="1" t="s">
        <v>141</v>
      </c>
      <c r="T108">
        <f t="shared" si="1"/>
        <v>-2.8016666666665984</v>
      </c>
    </row>
    <row r="109" spans="1:20" x14ac:dyDescent="0.3">
      <c r="A109">
        <v>108</v>
      </c>
      <c r="B109">
        <v>1</v>
      </c>
      <c r="C109">
        <v>1773052748.02</v>
      </c>
      <c r="D109">
        <v>1773052805.8936601</v>
      </c>
      <c r="E109">
        <v>57.873666666666601</v>
      </c>
      <c r="F109">
        <v>1773052683</v>
      </c>
      <c r="G109">
        <v>1773052719</v>
      </c>
      <c r="H109">
        <v>35.731999999999999</v>
      </c>
      <c r="I109">
        <v>22.141666666666602</v>
      </c>
      <c r="J109">
        <v>22.141666666666602</v>
      </c>
      <c r="K109">
        <v>47.308389449356604</v>
      </c>
      <c r="L109">
        <v>86.893667221069293</v>
      </c>
      <c r="M109">
        <v>86.893667221069293</v>
      </c>
      <c r="N109" s="2">
        <v>4.9007942155739898E-6</v>
      </c>
      <c r="O109" s="3">
        <v>46090.443842824076</v>
      </c>
      <c r="P109" s="3">
        <v>46090.444512662034</v>
      </c>
      <c r="Q109" s="1" t="s">
        <v>132</v>
      </c>
      <c r="R109" s="1" t="s">
        <v>142</v>
      </c>
      <c r="T109">
        <f t="shared" si="1"/>
        <v>-22.141666666666602</v>
      </c>
    </row>
    <row r="110" spans="1:20" x14ac:dyDescent="0.3">
      <c r="A110">
        <v>109</v>
      </c>
      <c r="B110">
        <v>2</v>
      </c>
      <c r="C110">
        <v>1773052750.68366</v>
      </c>
      <c r="D110">
        <v>1773052807.7443299</v>
      </c>
      <c r="E110">
        <v>57.060666666666599</v>
      </c>
      <c r="F110">
        <v>1773052690</v>
      </c>
      <c r="G110">
        <v>1773052765</v>
      </c>
      <c r="H110">
        <v>74.179000000000002</v>
      </c>
      <c r="I110">
        <v>-17.1183333333333</v>
      </c>
      <c r="J110">
        <v>17.1183333333333</v>
      </c>
      <c r="K110">
        <v>26.087133209217701</v>
      </c>
      <c r="L110">
        <v>42.7443332672119</v>
      </c>
      <c r="M110">
        <v>42.7443332672119</v>
      </c>
      <c r="N110" s="2">
        <v>2.4107761255473302E-6</v>
      </c>
      <c r="O110" s="3">
        <v>46090.443873657408</v>
      </c>
      <c r="P110" s="3">
        <v>46090.444534074071</v>
      </c>
      <c r="Q110" s="1" t="s">
        <v>139</v>
      </c>
      <c r="R110" s="1" t="s">
        <v>143</v>
      </c>
      <c r="T110">
        <f t="shared" si="1"/>
        <v>17.118333333333403</v>
      </c>
    </row>
    <row r="111" spans="1:20" x14ac:dyDescent="0.3">
      <c r="A111">
        <v>110</v>
      </c>
      <c r="B111">
        <v>3</v>
      </c>
      <c r="C111">
        <v>1773052753.2093301</v>
      </c>
      <c r="D111">
        <v>1773052864.77633</v>
      </c>
      <c r="E111">
        <v>111.56699999999999</v>
      </c>
      <c r="F111">
        <v>1773052705</v>
      </c>
      <c r="G111">
        <v>1773052766</v>
      </c>
      <c r="H111">
        <v>61.030999999999999</v>
      </c>
      <c r="I111">
        <v>50.536000000000001</v>
      </c>
      <c r="J111">
        <v>50.536000000000001</v>
      </c>
      <c r="K111">
        <v>58.559195355681901</v>
      </c>
      <c r="L111">
        <v>98.776333332061697</v>
      </c>
      <c r="M111">
        <v>98.776333332061697</v>
      </c>
      <c r="N111" s="2">
        <v>5.5709752396990497E-6</v>
      </c>
      <c r="O111" s="3">
        <v>46090.443902881947</v>
      </c>
      <c r="P111" s="3">
        <v>46090.44519416667</v>
      </c>
      <c r="Q111" s="1" t="s">
        <v>135</v>
      </c>
      <c r="R111" s="1" t="s">
        <v>144</v>
      </c>
      <c r="T111">
        <f t="shared" si="1"/>
        <v>-50.535999999999994</v>
      </c>
    </row>
    <row r="112" spans="1:20" x14ac:dyDescent="0.3">
      <c r="A112">
        <v>111</v>
      </c>
      <c r="B112">
        <v>4</v>
      </c>
      <c r="C112">
        <v>1773052754.4326601</v>
      </c>
      <c r="D112">
        <v>1773052804.8269899</v>
      </c>
      <c r="E112">
        <v>50.3943333333333</v>
      </c>
      <c r="F112">
        <v>1773052710</v>
      </c>
      <c r="G112">
        <v>1773052755</v>
      </c>
      <c r="H112">
        <v>45.182000000000002</v>
      </c>
      <c r="I112">
        <v>5.2123333333333202</v>
      </c>
      <c r="J112">
        <v>5.2123333333333202</v>
      </c>
      <c r="K112">
        <v>10.9071632098601</v>
      </c>
      <c r="L112">
        <v>49.826999425887998</v>
      </c>
      <c r="M112">
        <v>49.826999425887998</v>
      </c>
      <c r="N112" s="2">
        <v>2.8102377994815698E-6</v>
      </c>
      <c r="O112" s="3">
        <v>46090.443917048608</v>
      </c>
      <c r="P112" s="3">
        <v>46090.4445003125</v>
      </c>
      <c r="Q112" s="1" t="s">
        <v>141</v>
      </c>
      <c r="R112" s="1" t="s">
        <v>145</v>
      </c>
      <c r="T112">
        <f t="shared" si="1"/>
        <v>-5.212333333333298</v>
      </c>
    </row>
    <row r="113" spans="1:20" x14ac:dyDescent="0.3">
      <c r="A113">
        <v>112</v>
      </c>
      <c r="B113">
        <v>4</v>
      </c>
      <c r="C113">
        <v>1773052804.8269899</v>
      </c>
      <c r="D113">
        <v>1773052850.0803299</v>
      </c>
      <c r="E113">
        <v>45.253333333333302</v>
      </c>
      <c r="F113">
        <v>1773052719</v>
      </c>
      <c r="G113">
        <v>1773052755</v>
      </c>
      <c r="H113">
        <v>36.713000000000001</v>
      </c>
      <c r="I113">
        <v>8.5403333333333293</v>
      </c>
      <c r="J113">
        <v>8.5403333333333293</v>
      </c>
      <c r="K113">
        <v>20.838637001370401</v>
      </c>
      <c r="L113">
        <v>95.080332756042395</v>
      </c>
      <c r="M113">
        <v>95.080332756042395</v>
      </c>
      <c r="N113" s="2">
        <v>5.3625212187603997E-6</v>
      </c>
      <c r="O113" s="3">
        <v>46090.4445003125</v>
      </c>
      <c r="P113" s="3">
        <v>46090.445024074077</v>
      </c>
      <c r="Q113" s="1" t="s">
        <v>142</v>
      </c>
      <c r="R113" s="1" t="s">
        <v>145</v>
      </c>
      <c r="T113">
        <f t="shared" si="1"/>
        <v>-8.5403333333333009</v>
      </c>
    </row>
    <row r="114" spans="1:20" x14ac:dyDescent="0.3">
      <c r="A114">
        <v>113</v>
      </c>
      <c r="B114">
        <v>1</v>
      </c>
      <c r="C114">
        <v>1773052805.8936601</v>
      </c>
      <c r="D114">
        <v>1773052904.691</v>
      </c>
      <c r="E114">
        <v>98.797333333333299</v>
      </c>
      <c r="F114">
        <v>1773052755</v>
      </c>
      <c r="G114">
        <v>1773052798</v>
      </c>
      <c r="H114">
        <v>42.341999999999999</v>
      </c>
      <c r="I114">
        <v>56.4553333333333</v>
      </c>
      <c r="J114">
        <v>56.4553333333333</v>
      </c>
      <c r="K114">
        <v>79.999433184229204</v>
      </c>
      <c r="L114">
        <v>106.691000461578</v>
      </c>
      <c r="M114">
        <v>106.691000461578</v>
      </c>
      <c r="N114" s="2">
        <v>6.0173615456874104E-6</v>
      </c>
      <c r="O114" s="3">
        <v>46090.444512662034</v>
      </c>
      <c r="P114" s="3">
        <v>46090.445656145836</v>
      </c>
      <c r="Q114" s="1" t="s">
        <v>145</v>
      </c>
      <c r="R114" s="1" t="s">
        <v>146</v>
      </c>
      <c r="T114">
        <f t="shared" si="1"/>
        <v>-56.4553333333333</v>
      </c>
    </row>
    <row r="115" spans="1:20" x14ac:dyDescent="0.3">
      <c r="A115">
        <v>114</v>
      </c>
      <c r="B115">
        <v>2</v>
      </c>
      <c r="C115">
        <v>1773052807.7443299</v>
      </c>
      <c r="D115">
        <v>1773052852.09866</v>
      </c>
      <c r="E115">
        <v>44.354333333333301</v>
      </c>
      <c r="F115">
        <v>1773052755</v>
      </c>
      <c r="G115">
        <v>1773052814</v>
      </c>
      <c r="H115">
        <v>59.795999999999999</v>
      </c>
      <c r="I115">
        <v>-15.441666666666601</v>
      </c>
      <c r="J115">
        <v>15.441666666666601</v>
      </c>
      <c r="K115">
        <v>29.6526495354471</v>
      </c>
      <c r="L115">
        <v>38.098666667938197</v>
      </c>
      <c r="M115">
        <v>38.098666667938197</v>
      </c>
      <c r="N115" s="2">
        <v>2.1487609369437301E-6</v>
      </c>
      <c r="O115" s="3">
        <v>46090.444534074071</v>
      </c>
      <c r="P115" s="3">
        <v>46090.445047442132</v>
      </c>
      <c r="Q115" s="1" t="s">
        <v>145</v>
      </c>
      <c r="R115" s="1" t="s">
        <v>147</v>
      </c>
      <c r="T115">
        <f t="shared" si="1"/>
        <v>15.441666666666698</v>
      </c>
    </row>
    <row r="116" spans="1:20" x14ac:dyDescent="0.3">
      <c r="A116">
        <v>115</v>
      </c>
      <c r="B116">
        <v>4</v>
      </c>
      <c r="C116">
        <v>1773052850.0803299</v>
      </c>
      <c r="D116">
        <v>1773052909.5909901</v>
      </c>
      <c r="E116">
        <v>59.510666666666602</v>
      </c>
      <c r="F116">
        <v>1773052766</v>
      </c>
      <c r="G116">
        <v>1773052826</v>
      </c>
      <c r="H116">
        <v>59.981000000000002</v>
      </c>
      <c r="I116">
        <v>-0.470333333333329</v>
      </c>
      <c r="J116">
        <v>0.470333333333329</v>
      </c>
      <c r="K116">
        <v>0.787223655763993</v>
      </c>
      <c r="L116">
        <v>83.590999364852905</v>
      </c>
      <c r="M116">
        <v>83.590999364852905</v>
      </c>
      <c r="N116" s="2">
        <v>4.71452379582931E-6</v>
      </c>
      <c r="O116" s="3">
        <v>46090.445024074077</v>
      </c>
      <c r="P116" s="3">
        <v>46090.445712858796</v>
      </c>
      <c r="Q116" s="1" t="s">
        <v>144</v>
      </c>
      <c r="R116" s="1" t="s">
        <v>148</v>
      </c>
      <c r="T116">
        <f t="shared" si="1"/>
        <v>0.47033333333340011</v>
      </c>
    </row>
    <row r="117" spans="1:20" x14ac:dyDescent="0.3">
      <c r="A117">
        <v>116</v>
      </c>
      <c r="B117">
        <v>2</v>
      </c>
      <c r="C117">
        <v>1773052852.09866</v>
      </c>
      <c r="D117">
        <v>1773052928.6329999</v>
      </c>
      <c r="E117">
        <v>76.534333333333294</v>
      </c>
      <c r="F117">
        <v>1773052798</v>
      </c>
      <c r="G117">
        <v>1773052838</v>
      </c>
      <c r="H117">
        <v>40.228000000000002</v>
      </c>
      <c r="I117">
        <v>36.306333333333299</v>
      </c>
      <c r="J117">
        <v>36.306333333333299</v>
      </c>
      <c r="K117">
        <v>62.188434055503002</v>
      </c>
      <c r="L117">
        <v>90.632999897003103</v>
      </c>
      <c r="M117">
        <v>90.632999897003103</v>
      </c>
      <c r="N117" s="2">
        <v>5.11169185926783E-6</v>
      </c>
      <c r="O117" s="3">
        <v>46090.445047442132</v>
      </c>
      <c r="P117" s="3">
        <v>46090.445933252318</v>
      </c>
      <c r="Q117" s="1" t="s">
        <v>146</v>
      </c>
      <c r="R117" s="1" t="s">
        <v>149</v>
      </c>
      <c r="T117">
        <f t="shared" si="1"/>
        <v>-36.306333333333292</v>
      </c>
    </row>
    <row r="118" spans="1:20" x14ac:dyDescent="0.3">
      <c r="A118">
        <v>117</v>
      </c>
      <c r="B118">
        <v>3</v>
      </c>
      <c r="C118">
        <v>1773052864.77633</v>
      </c>
      <c r="D118">
        <v>1773052924.132</v>
      </c>
      <c r="E118">
        <v>59.3556666666666</v>
      </c>
      <c r="F118">
        <v>1773052814</v>
      </c>
      <c r="G118">
        <v>1773052896</v>
      </c>
      <c r="H118">
        <v>81.537999999999997</v>
      </c>
      <c r="I118">
        <v>-22.1823333333333</v>
      </c>
      <c r="J118">
        <v>22.1823333333333</v>
      </c>
      <c r="K118">
        <v>31.488048906858801</v>
      </c>
      <c r="L118">
        <v>28.131999969482401</v>
      </c>
      <c r="M118">
        <v>28.131999969482401</v>
      </c>
      <c r="N118" s="2">
        <v>1.58664187683125E-6</v>
      </c>
      <c r="O118" s="3">
        <v>46090.44519416667</v>
      </c>
      <c r="P118" s="3">
        <v>46090.445881157408</v>
      </c>
      <c r="Q118" s="1" t="s">
        <v>147</v>
      </c>
      <c r="R118" s="1" t="s">
        <v>150</v>
      </c>
      <c r="T118">
        <f t="shared" si="1"/>
        <v>22.182333333333396</v>
      </c>
    </row>
    <row r="119" spans="1:20" x14ac:dyDescent="0.3">
      <c r="A119">
        <v>118</v>
      </c>
      <c r="B119">
        <v>1</v>
      </c>
      <c r="C119">
        <v>1773052904.691</v>
      </c>
      <c r="D119">
        <v>1773052951.01033</v>
      </c>
      <c r="E119">
        <v>46.319333333333297</v>
      </c>
      <c r="F119">
        <v>1773052826</v>
      </c>
      <c r="G119">
        <v>1773052867</v>
      </c>
      <c r="H119">
        <v>41.335999999999999</v>
      </c>
      <c r="I119">
        <v>4.9833333333333298</v>
      </c>
      <c r="J119">
        <v>4.9833333333333298</v>
      </c>
      <c r="K119">
        <v>11.3702912163549</v>
      </c>
      <c r="L119">
        <v>84.010333776473999</v>
      </c>
      <c r="M119">
        <v>84.010333776473999</v>
      </c>
      <c r="N119" s="2">
        <v>4.7381741035359698E-6</v>
      </c>
      <c r="O119" s="3">
        <v>46090.445656145836</v>
      </c>
      <c r="P119" s="3">
        <v>46090.44619224537</v>
      </c>
      <c r="Q119" s="1" t="s">
        <v>148</v>
      </c>
      <c r="R119" s="1" t="s">
        <v>151</v>
      </c>
      <c r="T119">
        <f t="shared" si="1"/>
        <v>-4.9833333333332988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2026-06-18T11:05:03Z</dcterms:modified>
</cp:coreProperties>
</file>