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grain 222/"/>
    </mc:Choice>
  </mc:AlternateContent>
  <xr:revisionPtr revIDLastSave="17" documentId="11_AD4DADEC636C813AC809E415181B7BC65BDEDD96" xr6:coauthVersionLast="47" xr6:coauthVersionMax="47" xr10:uidLastSave="{8044CB08-E6DD-45D0-98AD-3B1FDB01A9F8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9" i="1" l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<sst xmlns="http://schemas.openxmlformats.org/spreadsheetml/2006/main" count="259" uniqueCount="158">
  <si>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</si>
  <si>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</si>
  <si>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</si>
  <si>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</si>
  <si>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</si>
  <si>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</si>
  <si>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</si>
  <si>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</si>
  <si>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</si>
  <si>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</si>
  <si>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</si>
  <si>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</si>
  <si>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</si>
  <si>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</si>
  <si>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</si>
  <si>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</si>
  <si>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</si>
  <si>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</si>
  <si>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9,03,2026  10:10:47</t>
  </si>
  <si>
    <t>9,03,2026  10:11:27</t>
  </si>
  <si>
    <t>9,03,2026  10:11:25</t>
  </si>
  <si>
    <t>9,03,2026  10:12:02</t>
  </si>
  <si>
    <t>9,03,2026  10:11:52</t>
  </si>
  <si>
    <t>9,03,2026  10:12:18</t>
  </si>
  <si>
    <t>9,03,2026  10:11:26</t>
  </si>
  <si>
    <t>9,03,2026  10:12:07</t>
  </si>
  <si>
    <t>9,03,2026  10:12:19</t>
  </si>
  <si>
    <t>9,03,2026  10:12:37</t>
  </si>
  <si>
    <t>9,03,2026  10:12:38</t>
  </si>
  <si>
    <t>9,03,2026  10:12:57</t>
  </si>
  <si>
    <t>9,03,2026  10:13:03</t>
  </si>
  <si>
    <t>9,03,2026  10:13:05</t>
  </si>
  <si>
    <t>9,03,2026  10:12:40</t>
  </si>
  <si>
    <t>9,03,2026  10:13:18</t>
  </si>
  <si>
    <t>9,03,2026  10:12:56</t>
  </si>
  <si>
    <t>9,03,2026  10:13:26</t>
  </si>
  <si>
    <t>9,03,2026  10:13:38</t>
  </si>
  <si>
    <t>9,03,2026  10:13:39</t>
  </si>
  <si>
    <t>9,03,2026  10:13:52</t>
  </si>
  <si>
    <t>9,03,2026  10:15:26</t>
  </si>
  <si>
    <t>9,03,2026  10:14:08</t>
  </si>
  <si>
    <t>9,03,2026  10:14:15</t>
  </si>
  <si>
    <t>9,03,2026  10:14:19</t>
  </si>
  <si>
    <t>9,03,2026  10:15:29</t>
  </si>
  <si>
    <t>9,03,2026  10:15:48</t>
  </si>
  <si>
    <t>9,03,2026  10:16:29</t>
  </si>
  <si>
    <t>9,03,2026  10:15:58</t>
  </si>
  <si>
    <t>9,03,2026  10:15:28</t>
  </si>
  <si>
    <t>9,03,2026  10:15:59</t>
  </si>
  <si>
    <t>9,03,2026  10:15:47</t>
  </si>
  <si>
    <t>9,03,2026  10:16:58</t>
  </si>
  <si>
    <t>9,03,2026  10:19:23</t>
  </si>
  <si>
    <t>9,03,2026  10:16:32</t>
  </si>
  <si>
    <t>9,03,2026  10:18:02</t>
  </si>
  <si>
    <t>9,03,2026  10:17:53</t>
  </si>
  <si>
    <t>9,03,2026  10:17:29</t>
  </si>
  <si>
    <t>9,03,2026  10:18:03</t>
  </si>
  <si>
    <t>9,03,2026  10:17:52</t>
  </si>
  <si>
    <t>9,03,2026  10:18:21</t>
  </si>
  <si>
    <t>9,03,2026  10:18:35</t>
  </si>
  <si>
    <t>9,03,2026  10:19:03</t>
  </si>
  <si>
    <t>9,03,2026  10:19:24</t>
  </si>
  <si>
    <t>9,03,2026  10:19:33</t>
  </si>
  <si>
    <t>9,03,2026  10:19:58</t>
  </si>
  <si>
    <t>9,03,2026  10:19:53</t>
  </si>
  <si>
    <t>9,03,2026  10:20:54</t>
  </si>
  <si>
    <t>9,03,2026  10:20:11</t>
  </si>
  <si>
    <t>9,03,2026  10:20:32</t>
  </si>
  <si>
    <t>9,03,2026  10:20:38</t>
  </si>
  <si>
    <t>9,03,2026  10:22:32</t>
  </si>
  <si>
    <t>9,03,2026  10:22:00</t>
  </si>
  <si>
    <t>9,03,2026  10:21:19</t>
  </si>
  <si>
    <t>9,03,2026  10:21:59</t>
  </si>
  <si>
    <t>9,03,2026  10:23:57</t>
  </si>
  <si>
    <t>9,03,2026  10:23:59</t>
  </si>
  <si>
    <t>9,03,2026  10:24:24</t>
  </si>
  <si>
    <t>9,03,2026  10:22:31</t>
  </si>
  <si>
    <t>9,03,2026  10:24:30</t>
  </si>
  <si>
    <t>9,03,2026  10:25:22</t>
  </si>
  <si>
    <t>9,03,2026  10:23:58</t>
  </si>
  <si>
    <t>9,03,2026  10:24:37</t>
  </si>
  <si>
    <t>9,03,2026  10:24:23</t>
  </si>
  <si>
    <t>9,03,2026  10:26:07</t>
  </si>
  <si>
    <t>9,03,2026  10:24:59</t>
  </si>
  <si>
    <t>9,03,2026  10:25:39</t>
  </si>
  <si>
    <t>9,03,2026  10:26:54</t>
  </si>
  <si>
    <t>9,03,2026  10:27:04</t>
  </si>
  <si>
    <t>9,03,2026  10:25:38</t>
  </si>
  <si>
    <t>9,03,2026  10:27:32</t>
  </si>
  <si>
    <t>9,03,2026  10:27:22</t>
  </si>
  <si>
    <t>9,03,2026  10:28:56</t>
  </si>
  <si>
    <t>9,03,2026  10:28:00</t>
  </si>
  <si>
    <t>9,03,2026  10:28:45</t>
  </si>
  <si>
    <t>9,03,2026  10:27:31</t>
  </si>
  <si>
    <t>9,03,2026  10:28:36</t>
  </si>
  <si>
    <t>9,03,2026  10:29:18</t>
  </si>
  <si>
    <t>9,03,2026  10:28:35</t>
  </si>
  <si>
    <t>9,03,2026  10:29:29</t>
  </si>
  <si>
    <t>9,03,2026  10:29:44</t>
  </si>
  <si>
    <t>9,03,2026  10:30:00</t>
  </si>
  <si>
    <t>9,03,2026  10:31:17</t>
  </si>
  <si>
    <t>9,03,2026  10:30:04</t>
  </si>
  <si>
    <t>9,03,2026  10:30:40</t>
  </si>
  <si>
    <t>9,03,2026  10:31:22</t>
  </si>
  <si>
    <t>9,03,2026  10:32:05</t>
  </si>
  <si>
    <t>9,03,2026  10:30:39</t>
  </si>
  <si>
    <t>9,03,2026  10:31:30</t>
  </si>
  <si>
    <t>9,03,2026  10:31:58</t>
  </si>
  <si>
    <t>9,03,2026  10:32:16</t>
  </si>
  <si>
    <t>9,03,2026  10:32:42</t>
  </si>
  <si>
    <t>9,03,2026  10:32:55</t>
  </si>
  <si>
    <t>9,03,2026  10:33:02</t>
  </si>
  <si>
    <t>9,03,2026  10:33:13</t>
  </si>
  <si>
    <t>9,03,2026  10:32:41</t>
  </si>
  <si>
    <t>9,03,2026  10:33:18</t>
  </si>
  <si>
    <t>9,03,2026  10:34:51</t>
  </si>
  <si>
    <t>9,03,2026  10:33:01</t>
  </si>
  <si>
    <t>9,03,2026  10:34:12</t>
  </si>
  <si>
    <t>9,03,2026  10:33:50</t>
  </si>
  <si>
    <t>9,03,2026  10:34:03</t>
  </si>
  <si>
    <t>9,03,2026  10:34:26</t>
  </si>
  <si>
    <t>9,03,2026  10:36:08</t>
  </si>
  <si>
    <t>9,03,2026  10:34:49</t>
  </si>
  <si>
    <t>9,03,2026  10:35:14</t>
  </si>
  <si>
    <t>9,03,2026  10:35:26</t>
  </si>
  <si>
    <t>9,03,2026  10:34:50</t>
  </si>
  <si>
    <t>9,03,2026  10:35:34</t>
  </si>
  <si>
    <t>9,03,2026  10:36:45</t>
  </si>
  <si>
    <t>9,03,2026  10:36:21</t>
  </si>
  <si>
    <t>9,03,2026  10:35:33</t>
  </si>
  <si>
    <t>9,03,2026  10:36:17</t>
  </si>
  <si>
    <t>9,03,2026  10:36:43</t>
  </si>
  <si>
    <t>9,03,2026  10:38:03</t>
  </si>
  <si>
    <t>9,03,2026  10:36:53</t>
  </si>
  <si>
    <t>9,03,2026  10:37:14</t>
  </si>
  <si>
    <t>9,03,2026  10:38:25</t>
  </si>
  <si>
    <t>9,03,2026  10:36:52</t>
  </si>
  <si>
    <t>9,03,2026  10:37:39</t>
  </si>
  <si>
    <t>9,03,2026  10:37:48</t>
  </si>
  <si>
    <t>9,03,2026  10:38:10</t>
  </si>
  <si>
    <t>9,03,2026  10:37:47</t>
  </si>
  <si>
    <t>9,03,2026  10:38:30</t>
  </si>
  <si>
    <t>9,03,2026  10:38:39</t>
  </si>
  <si>
    <t>9,03,2026  10:39:25</t>
  </si>
  <si>
    <t>9,03,2026  10:39:26</t>
  </si>
  <si>
    <t>9,03,2026  10:39:15</t>
  </si>
  <si>
    <t>9,03,2026  10:39:58</t>
  </si>
  <si>
    <t>9,03,2026  10:40:14</t>
  </si>
  <si>
    <t>9,03,2026  10:39:24</t>
  </si>
  <si>
    <t>9,03,2026  10:40:46</t>
  </si>
  <si>
    <t>9,03,2026  10:40:26</t>
  </si>
  <si>
    <t>9,03,2026  10:40:38</t>
  </si>
  <si>
    <t>9,03,2026  10:41:36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</si>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</sst>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</a:t>
            </a:r>
            <a:r>
              <a:rPr lang="pl-PL" baseline="0"/>
              <a:t> vs Predicted Online Linear Regression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67.248269669962994</c:v>
                </c:pt>
                <c:pt idx="1">
                  <c:v>66.781854553185894</c:v>
                </c:pt>
                <c:pt idx="2">
                  <c:v>67.244324535952799</c:v>
                </c:pt>
                <c:pt idx="3">
                  <c:v>67.423637877967806</c:v>
                </c:pt>
                <c:pt idx="4">
                  <c:v>67.275030130319806</c:v>
                </c:pt>
                <c:pt idx="5">
                  <c:v>64.023744475474999</c:v>
                </c:pt>
                <c:pt idx="6">
                  <c:v>67.189150806675798</c:v>
                </c:pt>
                <c:pt idx="7">
                  <c:v>66.487445965782598</c:v>
                </c:pt>
                <c:pt idx="8">
                  <c:v>67.073114909815402</c:v>
                </c:pt>
                <c:pt idx="9">
                  <c:v>67.428347500343506</c:v>
                </c:pt>
                <c:pt idx="10">
                  <c:v>67.383774571627399</c:v>
                </c:pt>
                <c:pt idx="11">
                  <c:v>66.987574556359306</c:v>
                </c:pt>
                <c:pt idx="12">
                  <c:v>25.865878611616601</c:v>
                </c:pt>
                <c:pt idx="13">
                  <c:v>67.177115954494894</c:v>
                </c:pt>
                <c:pt idx="14">
                  <c:v>67.007492321166694</c:v>
                </c:pt>
                <c:pt idx="15">
                  <c:v>67.013933202078405</c:v>
                </c:pt>
                <c:pt idx="16">
                  <c:v>67.206144650983703</c:v>
                </c:pt>
                <c:pt idx="17">
                  <c:v>67.219682335233799</c:v>
                </c:pt>
                <c:pt idx="18">
                  <c:v>67.092534432572293</c:v>
                </c:pt>
                <c:pt idx="19">
                  <c:v>66.732436030668893</c:v>
                </c:pt>
                <c:pt idx="20">
                  <c:v>66.688786592195498</c:v>
                </c:pt>
                <c:pt idx="21">
                  <c:v>66.937275181228699</c:v>
                </c:pt>
                <c:pt idx="22">
                  <c:v>67.292305381593906</c:v>
                </c:pt>
                <c:pt idx="23">
                  <c:v>67.248451453708498</c:v>
                </c:pt>
                <c:pt idx="24">
                  <c:v>67.298594621928203</c:v>
                </c:pt>
                <c:pt idx="25">
                  <c:v>67.175277516670604</c:v>
                </c:pt>
                <c:pt idx="26">
                  <c:v>67.349843155638496</c:v>
                </c:pt>
                <c:pt idx="27">
                  <c:v>66.673443606136203</c:v>
                </c:pt>
                <c:pt idx="28">
                  <c:v>67.160753539506402</c:v>
                </c:pt>
                <c:pt idx="29">
                  <c:v>67.391971836202998</c:v>
                </c:pt>
                <c:pt idx="30">
                  <c:v>67.168170351709307</c:v>
                </c:pt>
                <c:pt idx="31">
                  <c:v>66.9602921302466</c:v>
                </c:pt>
                <c:pt idx="32">
                  <c:v>67.163949389077899</c:v>
                </c:pt>
                <c:pt idx="33">
                  <c:v>67.466468573496599</c:v>
                </c:pt>
                <c:pt idx="34">
                  <c:v>67.453501452512896</c:v>
                </c:pt>
                <c:pt idx="35">
                  <c:v>66.838736015878098</c:v>
                </c:pt>
                <c:pt idx="36">
                  <c:v>66.670135140408107</c:v>
                </c:pt>
                <c:pt idx="37">
                  <c:v>66.629808893916803</c:v>
                </c:pt>
                <c:pt idx="38">
                  <c:v>66.664003138766006</c:v>
                </c:pt>
                <c:pt idx="39">
                  <c:v>67.163389163574905</c:v>
                </c:pt>
                <c:pt idx="40">
                  <c:v>67.377929017585501</c:v>
                </c:pt>
                <c:pt idx="41">
                  <c:v>67.132089631066194</c:v>
                </c:pt>
                <c:pt idx="42">
                  <c:v>66.954852304270503</c:v>
                </c:pt>
                <c:pt idx="43">
                  <c:v>67.354098789412006</c:v>
                </c:pt>
                <c:pt idx="44">
                  <c:v>67.3674358362926</c:v>
                </c:pt>
                <c:pt idx="45">
                  <c:v>67.371771289633301</c:v>
                </c:pt>
                <c:pt idx="46">
                  <c:v>66.902740347660895</c:v>
                </c:pt>
                <c:pt idx="47">
                  <c:v>66.889787794823704</c:v>
                </c:pt>
                <c:pt idx="48">
                  <c:v>66.862311278435499</c:v>
                </c:pt>
                <c:pt idx="49">
                  <c:v>67.031587435991099</c:v>
                </c:pt>
                <c:pt idx="50">
                  <c:v>67.319003071744504</c:v>
                </c:pt>
                <c:pt idx="51">
                  <c:v>66.987772929317202</c:v>
                </c:pt>
                <c:pt idx="52">
                  <c:v>66.982324445515403</c:v>
                </c:pt>
                <c:pt idx="53">
                  <c:v>66.958479866788593</c:v>
                </c:pt>
                <c:pt idx="54">
                  <c:v>66.876728462586499</c:v>
                </c:pt>
                <c:pt idx="55">
                  <c:v>66.948046594368094</c:v>
                </c:pt>
                <c:pt idx="56">
                  <c:v>67.445966542895505</c:v>
                </c:pt>
                <c:pt idx="57">
                  <c:v>66.997934225950701</c:v>
                </c:pt>
                <c:pt idx="58">
                  <c:v>67.318936778367799</c:v>
                </c:pt>
                <c:pt idx="59">
                  <c:v>66.885689496527206</c:v>
                </c:pt>
                <c:pt idx="60">
                  <c:v>66.939009938306199</c:v>
                </c:pt>
                <c:pt idx="61">
                  <c:v>66.898139425264404</c:v>
                </c:pt>
                <c:pt idx="62">
                  <c:v>66.881623925323098</c:v>
                </c:pt>
                <c:pt idx="63">
                  <c:v>67.213108600056898</c:v>
                </c:pt>
                <c:pt idx="64">
                  <c:v>66.921487808903905</c:v>
                </c:pt>
                <c:pt idx="65">
                  <c:v>67.312248663177996</c:v>
                </c:pt>
                <c:pt idx="66">
                  <c:v>67.233153304929004</c:v>
                </c:pt>
                <c:pt idx="67">
                  <c:v>67.283523992590901</c:v>
                </c:pt>
                <c:pt idx="68">
                  <c:v>67.234937528474802</c:v>
                </c:pt>
                <c:pt idx="69">
                  <c:v>67.251544710962307</c:v>
                </c:pt>
                <c:pt idx="70">
                  <c:v>67.336720483631794</c:v>
                </c:pt>
                <c:pt idx="71">
                  <c:v>67.182961271025505</c:v>
                </c:pt>
                <c:pt idx="72">
                  <c:v>66.950618550947198</c:v>
                </c:pt>
                <c:pt idx="73">
                  <c:v>67.235324280864006</c:v>
                </c:pt>
                <c:pt idx="74">
                  <c:v>67.260906882837702</c:v>
                </c:pt>
                <c:pt idx="75">
                  <c:v>67.2606677929151</c:v>
                </c:pt>
                <c:pt idx="76">
                  <c:v>66.919574347793898</c:v>
                </c:pt>
                <c:pt idx="77">
                  <c:v>66.9575408034394</c:v>
                </c:pt>
                <c:pt idx="78">
                  <c:v>67.047686351597406</c:v>
                </c:pt>
                <c:pt idx="79">
                  <c:v>67.032593190930598</c:v>
                </c:pt>
                <c:pt idx="80">
                  <c:v>67.264899908419096</c:v>
                </c:pt>
                <c:pt idx="81">
                  <c:v>67.232451681900599</c:v>
                </c:pt>
                <c:pt idx="82">
                  <c:v>67.306353563796904</c:v>
                </c:pt>
                <c:pt idx="83">
                  <c:v>67.259379703298805</c:v>
                </c:pt>
                <c:pt idx="84">
                  <c:v>66.997002235294502</c:v>
                </c:pt>
                <c:pt idx="85">
                  <c:v>66.953068515554094</c:v>
                </c:pt>
                <c:pt idx="86">
                  <c:v>67.108982645065694</c:v>
                </c:pt>
                <c:pt idx="87">
                  <c:v>66.995234811302495</c:v>
                </c:pt>
                <c:pt idx="88">
                  <c:v>67.047366986214996</c:v>
                </c:pt>
                <c:pt idx="89">
                  <c:v>67.221455989524799</c:v>
                </c:pt>
                <c:pt idx="90">
                  <c:v>66.939451147870599</c:v>
                </c:pt>
                <c:pt idx="91">
                  <c:v>67.010942535555003</c:v>
                </c:pt>
                <c:pt idx="92">
                  <c:v>67.291045312418802</c:v>
                </c:pt>
                <c:pt idx="93">
                  <c:v>66.971636866920804</c:v>
                </c:pt>
                <c:pt idx="94">
                  <c:v>67.315878878725201</c:v>
                </c:pt>
                <c:pt idx="95">
                  <c:v>66.945561133354005</c:v>
                </c:pt>
                <c:pt idx="96">
                  <c:v>67.078955927575393</c:v>
                </c:pt>
                <c:pt idx="97">
                  <c:v>67.262520768855495</c:v>
                </c:pt>
                <c:pt idx="98">
                  <c:v>67.287870948934497</c:v>
                </c:pt>
                <c:pt idx="99">
                  <c:v>66.914197601067897</c:v>
                </c:pt>
                <c:pt idx="100">
                  <c:v>67.304463976018297</c:v>
                </c:pt>
                <c:pt idx="101">
                  <c:v>67.324753392082599</c:v>
                </c:pt>
                <c:pt idx="102">
                  <c:v>66.915799298710496</c:v>
                </c:pt>
                <c:pt idx="103">
                  <c:v>67.024919470243105</c:v>
                </c:pt>
                <c:pt idx="104">
                  <c:v>66.993929492997097</c:v>
                </c:pt>
                <c:pt idx="105">
                  <c:v>66.728573291056605</c:v>
                </c:pt>
                <c:pt idx="106">
                  <c:v>66.626744905101503</c:v>
                </c:pt>
                <c:pt idx="107">
                  <c:v>66.522181264037897</c:v>
                </c:pt>
                <c:pt idx="108">
                  <c:v>66.662882219101405</c:v>
                </c:pt>
                <c:pt idx="109">
                  <c:v>66.774222452431502</c:v>
                </c:pt>
                <c:pt idx="110">
                  <c:v>66.570615841164894</c:v>
                </c:pt>
                <c:pt idx="111">
                  <c:v>66.570978116568199</c:v>
                </c:pt>
                <c:pt idx="112">
                  <c:v>66.968609100010099</c:v>
                </c:pt>
                <c:pt idx="113">
                  <c:v>66.555615142650595</c:v>
                </c:pt>
                <c:pt idx="114">
                  <c:v>66.953642502346696</c:v>
                </c:pt>
                <c:pt idx="115">
                  <c:v>66.1439025396121</c:v>
                </c:pt>
                <c:pt idx="116">
                  <c:v>66.999316382534104</c:v>
                </c:pt>
                <c:pt idx="117">
                  <c:v>66.650785819860204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C-49DF-A4EC-FF47488C59F6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39.847000000000001</c:v>
                </c:pt>
                <c:pt idx="1">
                  <c:v>37.893000000000001</c:v>
                </c:pt>
                <c:pt idx="2">
                  <c:v>75.8</c:v>
                </c:pt>
                <c:pt idx="3">
                  <c:v>65.260000000000005</c:v>
                </c:pt>
                <c:pt idx="4">
                  <c:v>52.973999999999997</c:v>
                </c:pt>
                <c:pt idx="5">
                  <c:v>40.587000000000003</c:v>
                </c:pt>
                <c:pt idx="6">
                  <c:v>27.202999999999999</c:v>
                </c:pt>
                <c:pt idx="7">
                  <c:v>34.738999999999997</c:v>
                </c:pt>
                <c:pt idx="8">
                  <c:v>30.835000000000001</c:v>
                </c:pt>
                <c:pt idx="9">
                  <c:v>39.046999999999997</c:v>
                </c:pt>
                <c:pt idx="10">
                  <c:v>44.473999999999997</c:v>
                </c:pt>
                <c:pt idx="11">
                  <c:v>28.206</c:v>
                </c:pt>
                <c:pt idx="12">
                  <c:v>2.5779999999999998</c:v>
                </c:pt>
                <c:pt idx="13">
                  <c:v>38.183</c:v>
                </c:pt>
                <c:pt idx="14">
                  <c:v>29.25</c:v>
                </c:pt>
                <c:pt idx="15">
                  <c:v>34.893000000000001</c:v>
                </c:pt>
                <c:pt idx="16">
                  <c:v>33.551000000000002</c:v>
                </c:pt>
                <c:pt idx="17">
                  <c:v>33.956000000000003</c:v>
                </c:pt>
                <c:pt idx="18">
                  <c:v>120.52</c:v>
                </c:pt>
                <c:pt idx="19">
                  <c:v>30.582999999999998</c:v>
                </c:pt>
                <c:pt idx="20">
                  <c:v>35.950000000000003</c:v>
                </c:pt>
                <c:pt idx="21">
                  <c:v>26.917999999999999</c:v>
                </c:pt>
                <c:pt idx="22">
                  <c:v>80.146000000000001</c:v>
                </c:pt>
                <c:pt idx="23">
                  <c:v>92.787999999999997</c:v>
                </c:pt>
                <c:pt idx="24">
                  <c:v>130.32300000000001</c:v>
                </c:pt>
                <c:pt idx="25">
                  <c:v>32.110999999999997</c:v>
                </c:pt>
                <c:pt idx="26">
                  <c:v>31.187999999999999</c:v>
                </c:pt>
                <c:pt idx="27">
                  <c:v>70.463999999999999</c:v>
                </c:pt>
                <c:pt idx="28">
                  <c:v>204.852</c:v>
                </c:pt>
                <c:pt idx="29">
                  <c:v>32.878</c:v>
                </c:pt>
                <c:pt idx="30">
                  <c:v>92.933000000000007</c:v>
                </c:pt>
                <c:pt idx="31">
                  <c:v>80.352999999999994</c:v>
                </c:pt>
                <c:pt idx="32">
                  <c:v>30.995999999999999</c:v>
                </c:pt>
                <c:pt idx="33">
                  <c:v>34.664000000000001</c:v>
                </c:pt>
                <c:pt idx="34">
                  <c:v>28.068000000000001</c:v>
                </c:pt>
                <c:pt idx="35">
                  <c:v>33.451999999999998</c:v>
                </c:pt>
                <c:pt idx="36">
                  <c:v>59.23</c:v>
                </c:pt>
                <c:pt idx="37">
                  <c:v>63.006999999999998</c:v>
                </c:pt>
                <c:pt idx="38">
                  <c:v>48.828000000000003</c:v>
                </c:pt>
                <c:pt idx="39">
                  <c:v>30.416</c:v>
                </c:pt>
                <c:pt idx="40">
                  <c:v>35.201000000000001</c:v>
                </c:pt>
                <c:pt idx="41">
                  <c:v>30.437000000000001</c:v>
                </c:pt>
                <c:pt idx="42">
                  <c:v>90.41</c:v>
                </c:pt>
                <c:pt idx="43">
                  <c:v>37.186999999999998</c:v>
                </c:pt>
                <c:pt idx="44">
                  <c:v>39.094999999999999</c:v>
                </c:pt>
                <c:pt idx="45">
                  <c:v>39.363999999999997</c:v>
                </c:pt>
                <c:pt idx="46">
                  <c:v>140.96600000000001</c:v>
                </c:pt>
                <c:pt idx="47">
                  <c:v>88.820999999999998</c:v>
                </c:pt>
                <c:pt idx="48">
                  <c:v>82.004000000000005</c:v>
                </c:pt>
                <c:pt idx="49">
                  <c:v>24.875</c:v>
                </c:pt>
                <c:pt idx="50">
                  <c:v>41.027999999999999</c:v>
                </c:pt>
                <c:pt idx="51">
                  <c:v>118.265</c:v>
                </c:pt>
                <c:pt idx="52">
                  <c:v>119.389</c:v>
                </c:pt>
                <c:pt idx="53">
                  <c:v>144.33799999999999</c:v>
                </c:pt>
                <c:pt idx="54">
                  <c:v>118.134</c:v>
                </c:pt>
                <c:pt idx="55">
                  <c:v>84.88</c:v>
                </c:pt>
                <c:pt idx="56">
                  <c:v>39.204000000000001</c:v>
                </c:pt>
                <c:pt idx="57">
                  <c:v>103.16200000000001</c:v>
                </c:pt>
                <c:pt idx="58">
                  <c:v>29.131</c:v>
                </c:pt>
                <c:pt idx="59">
                  <c:v>61.146999999999998</c:v>
                </c:pt>
                <c:pt idx="60">
                  <c:v>114.723</c:v>
                </c:pt>
                <c:pt idx="61">
                  <c:v>101.61799999999999</c:v>
                </c:pt>
                <c:pt idx="62">
                  <c:v>113.67</c:v>
                </c:pt>
                <c:pt idx="63">
                  <c:v>75.174000000000007</c:v>
                </c:pt>
                <c:pt idx="64">
                  <c:v>121.727</c:v>
                </c:pt>
                <c:pt idx="65">
                  <c:v>56.145000000000003</c:v>
                </c:pt>
                <c:pt idx="66">
                  <c:v>82.858999999999995</c:v>
                </c:pt>
                <c:pt idx="67">
                  <c:v>64.257999999999996</c:v>
                </c:pt>
                <c:pt idx="68">
                  <c:v>77.992000000000004</c:v>
                </c:pt>
                <c:pt idx="69">
                  <c:v>53.945999999999998</c:v>
                </c:pt>
                <c:pt idx="70">
                  <c:v>58.57</c:v>
                </c:pt>
                <c:pt idx="71">
                  <c:v>64.150000000000006</c:v>
                </c:pt>
                <c:pt idx="72">
                  <c:v>118.616</c:v>
                </c:pt>
                <c:pt idx="73">
                  <c:v>34.582000000000001</c:v>
                </c:pt>
                <c:pt idx="74">
                  <c:v>55.661999999999999</c:v>
                </c:pt>
                <c:pt idx="75">
                  <c:v>82.242000000000004</c:v>
                </c:pt>
                <c:pt idx="76">
                  <c:v>121.71</c:v>
                </c:pt>
                <c:pt idx="77">
                  <c:v>50.738</c:v>
                </c:pt>
                <c:pt idx="78">
                  <c:v>40.99</c:v>
                </c:pt>
                <c:pt idx="79">
                  <c:v>54.497999999999998</c:v>
                </c:pt>
                <c:pt idx="80">
                  <c:v>71.611000000000004</c:v>
                </c:pt>
                <c:pt idx="81">
                  <c:v>57.381999999999998</c:v>
                </c:pt>
                <c:pt idx="82">
                  <c:v>56.749000000000002</c:v>
                </c:pt>
                <c:pt idx="83">
                  <c:v>56.865000000000002</c:v>
                </c:pt>
                <c:pt idx="84">
                  <c:v>36.167000000000002</c:v>
                </c:pt>
                <c:pt idx="85">
                  <c:v>115.643</c:v>
                </c:pt>
                <c:pt idx="86">
                  <c:v>70.22</c:v>
                </c:pt>
                <c:pt idx="87">
                  <c:v>36.491</c:v>
                </c:pt>
                <c:pt idx="88">
                  <c:v>45.317</c:v>
                </c:pt>
                <c:pt idx="89">
                  <c:v>36.069000000000003</c:v>
                </c:pt>
                <c:pt idx="90">
                  <c:v>125.39</c:v>
                </c:pt>
                <c:pt idx="91">
                  <c:v>37.015999999999998</c:v>
                </c:pt>
                <c:pt idx="92">
                  <c:v>48.18</c:v>
                </c:pt>
                <c:pt idx="93">
                  <c:v>37.222000000000001</c:v>
                </c:pt>
                <c:pt idx="94">
                  <c:v>43.173000000000002</c:v>
                </c:pt>
                <c:pt idx="95">
                  <c:v>91.207999999999998</c:v>
                </c:pt>
                <c:pt idx="96">
                  <c:v>55.259</c:v>
                </c:pt>
                <c:pt idx="97">
                  <c:v>43.234000000000002</c:v>
                </c:pt>
                <c:pt idx="98">
                  <c:v>34.659999999999997</c:v>
                </c:pt>
                <c:pt idx="99">
                  <c:v>106.506</c:v>
                </c:pt>
                <c:pt idx="100">
                  <c:v>31.963999999999999</c:v>
                </c:pt>
                <c:pt idx="101">
                  <c:v>31.568000000000001</c:v>
                </c:pt>
                <c:pt idx="102">
                  <c:v>99.703000000000003</c:v>
                </c:pt>
                <c:pt idx="103">
                  <c:v>46.564</c:v>
                </c:pt>
                <c:pt idx="104">
                  <c:v>33.265999999999998</c:v>
                </c:pt>
                <c:pt idx="105">
                  <c:v>31.469000000000001</c:v>
                </c:pt>
                <c:pt idx="106">
                  <c:v>42.173000000000002</c:v>
                </c:pt>
                <c:pt idx="107">
                  <c:v>35.731999999999999</c:v>
                </c:pt>
                <c:pt idx="108">
                  <c:v>74.179000000000002</c:v>
                </c:pt>
                <c:pt idx="109">
                  <c:v>61.030999999999999</c:v>
                </c:pt>
                <c:pt idx="110">
                  <c:v>45.182000000000002</c:v>
                </c:pt>
                <c:pt idx="111">
                  <c:v>36.713000000000001</c:v>
                </c:pt>
                <c:pt idx="112">
                  <c:v>42.341999999999999</c:v>
                </c:pt>
                <c:pt idx="113">
                  <c:v>59.795999999999999</c:v>
                </c:pt>
                <c:pt idx="114">
                  <c:v>81.757000000000005</c:v>
                </c:pt>
                <c:pt idx="115">
                  <c:v>59.981000000000002</c:v>
                </c:pt>
                <c:pt idx="116">
                  <c:v>40.228000000000002</c:v>
                </c:pt>
                <c:pt idx="117">
                  <c:v>81.537999999999997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C-49DF-A4EC-FF47488C5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0112"/>
        <c:axId val="194562992"/>
      </c:scatterChart>
      <c:valAx>
        <c:axId val="1945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2992"/>
        <c:crosses val="autoZero"/>
        <c:crossBetween val="midCat"/>
      </c:valAx>
      <c:valAx>
        <c:axId val="1945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1127760</xdr:colOff>
      <xdr:row>4</xdr:row>
      <xdr:rowOff>41910</xdr:rowOff>
    </xdr:from>
    <xdr:to>
      <xdr:col>19</xdr:col>
      <xdr:colOff>365760</xdr:colOff>
      <xdr:row>30</xdr:row>
      <xdr:rowOff>15240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BB6985D-F8DF-EEC5-B881-937A69B64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"/>
  <sheetViews>
    <sheetView tabSelected="1" topLeftCell="D1" workbookViewId="0">
      <selection activeCell="W7" sqref="W7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</row>
    <row r="2" spans="1:24" x14ac:dyDescent="0.3">
      <c r="A2">
        <v>1</v>
      </c>
      <c r="B2">
        <v>1</v>
      </c>
      <c r="C2">
        <v>1773051047</v>
      </c>
      <c r="D2">
        <v>1773051114.24826</v>
      </c>
      <c r="E2">
        <v>67.248269669962994</v>
      </c>
      <c r="F2">
        <v>1773051047</v>
      </c>
      <c r="G2">
        <v>1773051087</v>
      </c>
      <c r="H2">
        <v>39.847000000000001</v>
      </c>
      <c r="I2">
        <v>27.401269669963</v>
      </c>
      <c r="J2">
        <v>27.401269669963</v>
      </c>
      <c r="K2">
        <v>51.171764643584901</v>
      </c>
      <c r="L2">
        <v>27.248269557952799</v>
      </c>
      <c r="M2">
        <v>27.248269557952799</v>
      </c>
      <c r="N2" s="2">
        <v>1.5368011417359099E-6</v>
      </c>
      <c r="O2" s="3">
        <v>46090.424155092594</v>
      </c>
      <c r="P2" s="3">
        <v>46090.424933425929</v>
      </c>
      <c r="Q2" s="1" t="s">
        <v>18</v>
      </c>
      <c r="R2" s="1" t="s">
        <v>19</v>
      </c>
      <c r="T2">
        <f>H2-E2</f>
        <v>-27.401269669962993</v>
      </c>
      <c r="U2">
        <f>AVERAGE(T2:T119)</f>
        <v>-5.4056923270174773</v>
      </c>
      <c r="V2">
        <f>MEDIAN(T2:T119)</f>
        <v>-17.027771971102702</v>
      </c>
      <c r="W2">
        <f>COUNTIF(T2:T119,"&lt;0")/COUNT(T2:T119)</f>
        <v>0.66949152542372881</v>
      </c>
      <c r="X2">
        <f>COUNTIF(T2:T119,"&gt;0")/COUNT(T2:T119)</f>
        <v>0.33050847457627119</v>
      </c>
    </row>
    <row r="3" spans="1:24" x14ac:dyDescent="0.3">
      <c r="A3">
        <v>2</v>
      </c>
      <c r="B3">
        <v>2</v>
      </c>
      <c r="C3">
        <v>1773051047</v>
      </c>
      <c r="D3">
        <v>1773051113.7818501</v>
      </c>
      <c r="E3">
        <v>66.781854553185894</v>
      </c>
      <c r="F3">
        <v>1773051047</v>
      </c>
      <c r="G3">
        <v>1773051085</v>
      </c>
      <c r="H3">
        <v>37.893000000000001</v>
      </c>
      <c r="I3">
        <v>28.888854553185901</v>
      </c>
      <c r="J3">
        <v>28.888854553185901</v>
      </c>
      <c r="K3">
        <v>55.197314916749797</v>
      </c>
      <c r="L3">
        <v>28.781854629516602</v>
      </c>
      <c r="M3">
        <v>28.781854629516602</v>
      </c>
      <c r="N3" s="2">
        <v>1.6232952699109201E-6</v>
      </c>
      <c r="O3" s="3">
        <v>46090.424155092594</v>
      </c>
      <c r="P3" s="3">
        <v>46090.424928032407</v>
      </c>
      <c r="Q3" s="1" t="s">
        <v>18</v>
      </c>
      <c r="R3" s="1" t="s">
        <v>20</v>
      </c>
      <c r="T3">
        <f t="shared" ref="T3:T66" si="0">H3-E3</f>
        <v>-28.888854553185894</v>
      </c>
    </row>
    <row r="4" spans="1:24" x14ac:dyDescent="0.3">
      <c r="A4">
        <v>3</v>
      </c>
      <c r="B4">
        <v>3</v>
      </c>
      <c r="C4">
        <v>1773051047</v>
      </c>
      <c r="D4">
        <v>1773051114.2443199</v>
      </c>
      <c r="E4">
        <v>67.244324535952799</v>
      </c>
      <c r="F4">
        <v>1773051047</v>
      </c>
      <c r="G4">
        <v>1773051122</v>
      </c>
      <c r="H4">
        <v>75.8</v>
      </c>
      <c r="I4">
        <v>-8.5556754640471393</v>
      </c>
      <c r="J4">
        <v>8.5556754640471393</v>
      </c>
      <c r="K4">
        <v>11.962271822810701</v>
      </c>
      <c r="L4">
        <v>-7.75567555427551</v>
      </c>
      <c r="M4">
        <v>7.75567555427551</v>
      </c>
      <c r="N4" s="2">
        <v>4.3741973793116201E-7</v>
      </c>
      <c r="O4" s="3">
        <v>46090.424155092594</v>
      </c>
      <c r="P4" s="3">
        <v>46090.424933379632</v>
      </c>
      <c r="Q4" s="1" t="s">
        <v>18</v>
      </c>
      <c r="R4" s="1" t="s">
        <v>21</v>
      </c>
      <c r="T4">
        <f t="shared" si="0"/>
        <v>8.5556754640471979</v>
      </c>
    </row>
    <row r="5" spans="1:24" x14ac:dyDescent="0.3">
      <c r="A5">
        <v>4</v>
      </c>
      <c r="B5">
        <v>4</v>
      </c>
      <c r="C5">
        <v>1773051047</v>
      </c>
      <c r="D5">
        <v>1773051114.42363</v>
      </c>
      <c r="E5">
        <v>67.423637877967806</v>
      </c>
      <c r="F5">
        <v>1773051047</v>
      </c>
      <c r="G5">
        <v>1773051112</v>
      </c>
      <c r="H5">
        <v>65.260000000000005</v>
      </c>
      <c r="I5">
        <v>2.16363787796787</v>
      </c>
      <c r="J5">
        <v>2.16363787796787</v>
      </c>
      <c r="K5">
        <v>3.2613484414073901</v>
      </c>
      <c r="L5">
        <v>2.4236378669738698</v>
      </c>
      <c r="M5">
        <v>2.4236378669738698</v>
      </c>
      <c r="N5" s="2">
        <v>1.3669306253577399E-7</v>
      </c>
      <c r="O5" s="3">
        <v>46090.424155092594</v>
      </c>
      <c r="P5" s="3">
        <v>46090.424935462965</v>
      </c>
      <c r="Q5" s="1" t="s">
        <v>18</v>
      </c>
      <c r="R5" s="1" t="s">
        <v>22</v>
      </c>
      <c r="T5">
        <f t="shared" si="0"/>
        <v>-2.1636378779678012</v>
      </c>
    </row>
    <row r="6" spans="1:24" x14ac:dyDescent="0.3">
      <c r="A6">
        <v>5</v>
      </c>
      <c r="B6">
        <v>2</v>
      </c>
      <c r="C6">
        <v>1773051113.7818501</v>
      </c>
      <c r="D6">
        <v>1773051181.05688</v>
      </c>
      <c r="E6">
        <v>67.275030130319806</v>
      </c>
      <c r="F6">
        <v>1773051085</v>
      </c>
      <c r="G6">
        <v>1773051138</v>
      </c>
      <c r="H6">
        <v>52.973999999999997</v>
      </c>
      <c r="I6">
        <v>14.3010301303198</v>
      </c>
      <c r="J6">
        <v>14.3010301303198</v>
      </c>
      <c r="K6">
        <v>23.785688940395001</v>
      </c>
      <c r="L6">
        <v>43.056884765625</v>
      </c>
      <c r="M6">
        <v>43.056884765625</v>
      </c>
      <c r="N6" s="2">
        <v>2.42840622698536E-6</v>
      </c>
      <c r="O6" s="3">
        <v>46090.424928032407</v>
      </c>
      <c r="P6" s="3">
        <v>46090.425706678237</v>
      </c>
      <c r="Q6" s="1" t="s">
        <v>20</v>
      </c>
      <c r="R6" s="1" t="s">
        <v>23</v>
      </c>
      <c r="T6">
        <f t="shared" si="0"/>
        <v>-14.301030130319809</v>
      </c>
    </row>
    <row r="7" spans="1:24" x14ac:dyDescent="0.3">
      <c r="A7">
        <v>6</v>
      </c>
      <c r="B7">
        <v>3</v>
      </c>
      <c r="C7">
        <v>1773051114.2443199</v>
      </c>
      <c r="D7">
        <v>1773051178.26806</v>
      </c>
      <c r="E7">
        <v>64.023744475474999</v>
      </c>
      <c r="F7">
        <v>1773051086</v>
      </c>
      <c r="G7">
        <v>1773051127</v>
      </c>
      <c r="H7">
        <v>40.587000000000003</v>
      </c>
      <c r="I7">
        <v>23.436744475474999</v>
      </c>
      <c r="J7">
        <v>23.436744475474999</v>
      </c>
      <c r="K7">
        <v>44.807528314588197</v>
      </c>
      <c r="L7">
        <v>51.268069028854299</v>
      </c>
      <c r="M7">
        <v>51.268069028854299</v>
      </c>
      <c r="N7" s="2">
        <v>2.89151663519074E-6</v>
      </c>
      <c r="O7" s="3">
        <v>46090.424933379632</v>
      </c>
      <c r="P7" s="3">
        <v>46090.425674398146</v>
      </c>
      <c r="Q7" s="1" t="s">
        <v>24</v>
      </c>
      <c r="R7" s="1" t="s">
        <v>25</v>
      </c>
      <c r="T7">
        <f t="shared" si="0"/>
        <v>-23.436744475474995</v>
      </c>
    </row>
    <row r="8" spans="1:24" x14ac:dyDescent="0.3">
      <c r="A8">
        <v>7</v>
      </c>
      <c r="B8">
        <v>1</v>
      </c>
      <c r="C8">
        <v>1773051114.24826</v>
      </c>
      <c r="D8">
        <v>1773051181.4374199</v>
      </c>
      <c r="E8">
        <v>67.189150806675798</v>
      </c>
      <c r="F8">
        <v>1773051112</v>
      </c>
      <c r="G8">
        <v>1773051139</v>
      </c>
      <c r="H8">
        <v>27.202999999999999</v>
      </c>
      <c r="I8">
        <v>39.986150806675802</v>
      </c>
      <c r="J8">
        <v>39.986150806675802</v>
      </c>
      <c r="K8">
        <v>84.7234658071756</v>
      </c>
      <c r="L8">
        <v>42.437420368194502</v>
      </c>
      <c r="M8">
        <v>42.437420368194502</v>
      </c>
      <c r="N8" s="2">
        <v>2.3934684638744299E-6</v>
      </c>
      <c r="O8" s="3">
        <v>46090.424933425929</v>
      </c>
      <c r="P8" s="3">
        <v>46090.425711076387</v>
      </c>
      <c r="Q8" s="1" t="s">
        <v>22</v>
      </c>
      <c r="R8" s="1" t="s">
        <v>26</v>
      </c>
      <c r="T8">
        <f t="shared" si="0"/>
        <v>-39.986150806675795</v>
      </c>
    </row>
    <row r="9" spans="1:24" x14ac:dyDescent="0.3">
      <c r="A9">
        <v>8</v>
      </c>
      <c r="B9">
        <v>4</v>
      </c>
      <c r="C9">
        <v>1773051114.42363</v>
      </c>
      <c r="D9">
        <v>1773051180.9110799</v>
      </c>
      <c r="E9">
        <v>66.487445965782598</v>
      </c>
      <c r="F9">
        <v>1773051122</v>
      </c>
      <c r="G9">
        <v>1773051157</v>
      </c>
      <c r="H9">
        <v>34.738999999999997</v>
      </c>
      <c r="I9">
        <v>31.748445965782601</v>
      </c>
      <c r="J9">
        <v>31.748445965782601</v>
      </c>
      <c r="K9">
        <v>62.727572153455803</v>
      </c>
      <c r="L9">
        <v>23.911083936691199</v>
      </c>
      <c r="M9">
        <v>23.911083936691199</v>
      </c>
      <c r="N9" s="2">
        <v>1.34858397520341E-6</v>
      </c>
      <c r="O9" s="3">
        <v>46090.424935462965</v>
      </c>
      <c r="P9" s="3">
        <v>46090.425704988425</v>
      </c>
      <c r="Q9" s="1" t="s">
        <v>21</v>
      </c>
      <c r="R9" s="1" t="s">
        <v>27</v>
      </c>
      <c r="T9">
        <f t="shared" si="0"/>
        <v>-31.748445965782601</v>
      </c>
    </row>
    <row r="10" spans="1:24" x14ac:dyDescent="0.3">
      <c r="A10">
        <v>9</v>
      </c>
      <c r="B10">
        <v>3</v>
      </c>
      <c r="C10">
        <v>1773051178.26806</v>
      </c>
      <c r="D10">
        <v>1773051245.3411801</v>
      </c>
      <c r="E10">
        <v>67.073114909815402</v>
      </c>
      <c r="F10">
        <v>1773051127</v>
      </c>
      <c r="G10">
        <v>1773051158</v>
      </c>
      <c r="H10">
        <v>30.835000000000001</v>
      </c>
      <c r="I10">
        <v>36.238114909815401</v>
      </c>
      <c r="J10">
        <v>36.238114909815401</v>
      </c>
      <c r="K10">
        <v>74.0247423682804</v>
      </c>
      <c r="L10">
        <v>87.341183900833101</v>
      </c>
      <c r="M10">
        <v>87.341183900833101</v>
      </c>
      <c r="N10" s="2">
        <v>4.9260384482150901E-6</v>
      </c>
      <c r="O10" s="3">
        <v>46090.425674398146</v>
      </c>
      <c r="P10" s="3">
        <v>46090.426450706022</v>
      </c>
      <c r="Q10" s="1" t="s">
        <v>25</v>
      </c>
      <c r="R10" s="1" t="s">
        <v>28</v>
      </c>
      <c r="T10">
        <f t="shared" si="0"/>
        <v>-36.238114909815401</v>
      </c>
    </row>
    <row r="11" spans="1:24" x14ac:dyDescent="0.3">
      <c r="A11">
        <v>10</v>
      </c>
      <c r="B11">
        <v>4</v>
      </c>
      <c r="C11">
        <v>1773051180.9110799</v>
      </c>
      <c r="D11">
        <v>1773051248.3394301</v>
      </c>
      <c r="E11">
        <v>67.428347500343506</v>
      </c>
      <c r="F11">
        <v>1773051138</v>
      </c>
      <c r="G11">
        <v>1773051177</v>
      </c>
      <c r="H11">
        <v>39.046999999999997</v>
      </c>
      <c r="I11">
        <v>28.381347500343502</v>
      </c>
      <c r="J11">
        <v>28.381347500343502</v>
      </c>
      <c r="K11">
        <v>53.310645452933599</v>
      </c>
      <c r="L11">
        <v>71.339431524276705</v>
      </c>
      <c r="M11">
        <v>71.339431524276705</v>
      </c>
      <c r="N11" s="2">
        <v>4.0235403813778999E-6</v>
      </c>
      <c r="O11" s="3">
        <v>46090.425704988425</v>
      </c>
      <c r="P11" s="3">
        <v>46090.426485405093</v>
      </c>
      <c r="Q11" s="1" t="s">
        <v>23</v>
      </c>
      <c r="R11" s="1" t="s">
        <v>29</v>
      </c>
      <c r="T11">
        <f t="shared" si="0"/>
        <v>-28.381347500343509</v>
      </c>
    </row>
    <row r="12" spans="1:24" x14ac:dyDescent="0.3">
      <c r="A12">
        <v>11</v>
      </c>
      <c r="B12">
        <v>2</v>
      </c>
      <c r="C12">
        <v>1773051181.05688</v>
      </c>
      <c r="D12">
        <v>1773051248.44065</v>
      </c>
      <c r="E12">
        <v>67.383774571627399</v>
      </c>
      <c r="F12">
        <v>1773051138</v>
      </c>
      <c r="G12">
        <v>1773051183</v>
      </c>
      <c r="H12">
        <v>44.473999999999997</v>
      </c>
      <c r="I12">
        <v>22.909774571627398</v>
      </c>
      <c r="J12">
        <v>22.909774571627398</v>
      </c>
      <c r="K12">
        <v>40.962328562968601</v>
      </c>
      <c r="L12">
        <v>65.440659284591604</v>
      </c>
      <c r="M12">
        <v>65.440659284591604</v>
      </c>
      <c r="N12" s="2">
        <v>3.6908499147897001E-6</v>
      </c>
      <c r="O12" s="3">
        <v>46090.425706678237</v>
      </c>
      <c r="P12" s="3">
        <v>46090.426486585646</v>
      </c>
      <c r="Q12" s="1" t="s">
        <v>23</v>
      </c>
      <c r="R12" s="1" t="s">
        <v>30</v>
      </c>
      <c r="T12">
        <f t="shared" si="0"/>
        <v>-22.909774571627402</v>
      </c>
    </row>
    <row r="13" spans="1:24" x14ac:dyDescent="0.3">
      <c r="A13">
        <v>12</v>
      </c>
      <c r="B13">
        <v>1</v>
      </c>
      <c r="C13">
        <v>1773051181.4374199</v>
      </c>
      <c r="D13">
        <v>1773051248.4249899</v>
      </c>
      <c r="E13">
        <v>66.987574556359306</v>
      </c>
      <c r="F13">
        <v>1773051157</v>
      </c>
      <c r="G13">
        <v>1773051185</v>
      </c>
      <c r="H13">
        <v>28.206</v>
      </c>
      <c r="I13">
        <v>38.781574556359303</v>
      </c>
      <c r="J13">
        <v>38.781574556359303</v>
      </c>
      <c r="K13">
        <v>81.479395509827597</v>
      </c>
      <c r="L13">
        <v>63.424994945526102</v>
      </c>
      <c r="M13">
        <v>63.424994945526102</v>
      </c>
      <c r="N13" s="2">
        <v>3.5771665447502099E-6</v>
      </c>
      <c r="O13" s="3">
        <v>46090.425711076387</v>
      </c>
      <c r="P13" s="3">
        <v>46090.426486400465</v>
      </c>
      <c r="Q13" s="1" t="s">
        <v>27</v>
      </c>
      <c r="R13" s="1" t="s">
        <v>31</v>
      </c>
      <c r="T13">
        <f t="shared" si="0"/>
        <v>-38.781574556359303</v>
      </c>
    </row>
    <row r="14" spans="1:24" x14ac:dyDescent="0.3">
      <c r="A14">
        <v>13</v>
      </c>
      <c r="B14">
        <v>3</v>
      </c>
      <c r="C14">
        <v>1773051245.3411801</v>
      </c>
      <c r="D14">
        <v>1773051271.2070601</v>
      </c>
      <c r="E14">
        <v>25.865878611616601</v>
      </c>
      <c r="F14">
        <v>1773051158</v>
      </c>
      <c r="G14">
        <v>1773051160</v>
      </c>
      <c r="H14">
        <v>2.5779999999999998</v>
      </c>
      <c r="I14">
        <v>23.287878611616598</v>
      </c>
      <c r="J14">
        <v>23.287878611616598</v>
      </c>
      <c r="K14">
        <v>163.746153818176</v>
      </c>
      <c r="L14">
        <v>111.207062482833</v>
      </c>
      <c r="M14">
        <v>111.207062482833</v>
      </c>
      <c r="N14" s="2">
        <v>6.2720727694817198E-6</v>
      </c>
      <c r="O14" s="3">
        <v>46090.426450706022</v>
      </c>
      <c r="P14" s="3">
        <v>46090.426750081017</v>
      </c>
      <c r="Q14" s="1" t="s">
        <v>28</v>
      </c>
      <c r="R14" s="1" t="s">
        <v>32</v>
      </c>
      <c r="T14">
        <f t="shared" si="0"/>
        <v>-23.287878611616602</v>
      </c>
    </row>
    <row r="15" spans="1:24" x14ac:dyDescent="0.3">
      <c r="A15">
        <v>14</v>
      </c>
      <c r="B15">
        <v>4</v>
      </c>
      <c r="C15">
        <v>1773051248.3394301</v>
      </c>
      <c r="D15">
        <v>1773051315.5165401</v>
      </c>
      <c r="E15">
        <v>67.177115954494894</v>
      </c>
      <c r="F15">
        <v>1773051160</v>
      </c>
      <c r="G15">
        <v>1773051198</v>
      </c>
      <c r="H15">
        <v>38.183</v>
      </c>
      <c r="I15">
        <v>28.994115954494902</v>
      </c>
      <c r="J15">
        <v>28.994115954494902</v>
      </c>
      <c r="K15">
        <v>55.038124610677997</v>
      </c>
      <c r="L15">
        <v>117.516547441482</v>
      </c>
      <c r="M15">
        <v>117.516547441482</v>
      </c>
      <c r="N15" s="2">
        <v>6.627927252162E-6</v>
      </c>
      <c r="O15" s="3">
        <v>46090.426485405093</v>
      </c>
      <c r="P15" s="3">
        <v>46090.427262928242</v>
      </c>
      <c r="Q15" s="1" t="s">
        <v>32</v>
      </c>
      <c r="R15" s="1" t="s">
        <v>33</v>
      </c>
      <c r="T15">
        <f t="shared" si="0"/>
        <v>-28.994115954494895</v>
      </c>
    </row>
    <row r="16" spans="1:24" x14ac:dyDescent="0.3">
      <c r="A16">
        <v>15</v>
      </c>
      <c r="B16">
        <v>1</v>
      </c>
      <c r="C16">
        <v>1773051248.4249899</v>
      </c>
      <c r="D16">
        <v>1773051315.4324801</v>
      </c>
      <c r="E16">
        <v>67.007492321166694</v>
      </c>
      <c r="F16">
        <v>1773051176</v>
      </c>
      <c r="G16">
        <v>1773051206</v>
      </c>
      <c r="H16">
        <v>29.25</v>
      </c>
      <c r="I16">
        <v>37.757492321166701</v>
      </c>
      <c r="J16">
        <v>37.757492321166701</v>
      </c>
      <c r="K16">
        <v>78.451020093454005</v>
      </c>
      <c r="L16">
        <v>109.43248724937401</v>
      </c>
      <c r="M16">
        <v>109.43248724937401</v>
      </c>
      <c r="N16" s="2">
        <v>6.17198665791354E-6</v>
      </c>
      <c r="O16" s="3">
        <v>46090.426486400465</v>
      </c>
      <c r="P16" s="3">
        <v>46090.427261944445</v>
      </c>
      <c r="Q16" s="1" t="s">
        <v>34</v>
      </c>
      <c r="R16" s="1" t="s">
        <v>35</v>
      </c>
      <c r="T16">
        <f t="shared" si="0"/>
        <v>-37.757492321166694</v>
      </c>
    </row>
    <row r="17" spans="1:20" x14ac:dyDescent="0.3">
      <c r="A17">
        <v>16</v>
      </c>
      <c r="B17">
        <v>2</v>
      </c>
      <c r="C17">
        <v>1773051248.44065</v>
      </c>
      <c r="D17">
        <v>1773051315.4545901</v>
      </c>
      <c r="E17">
        <v>67.013933202078405</v>
      </c>
      <c r="F17">
        <v>1773051183</v>
      </c>
      <c r="G17">
        <v>1773051218</v>
      </c>
      <c r="H17">
        <v>34.893000000000001</v>
      </c>
      <c r="I17">
        <v>32.120933202078398</v>
      </c>
      <c r="J17">
        <v>32.120933202078398</v>
      </c>
      <c r="K17">
        <v>63.039740659025703</v>
      </c>
      <c r="L17">
        <v>97.454592466354299</v>
      </c>
      <c r="M17">
        <v>97.454592466354299</v>
      </c>
      <c r="N17" s="2">
        <v>5.4964339889751904E-6</v>
      </c>
      <c r="O17" s="3">
        <v>46090.426486585646</v>
      </c>
      <c r="P17" s="3">
        <v>46090.427262210651</v>
      </c>
      <c r="Q17" s="1" t="s">
        <v>30</v>
      </c>
      <c r="R17" s="1" t="s">
        <v>36</v>
      </c>
      <c r="T17">
        <f t="shared" si="0"/>
        <v>-32.120933202078405</v>
      </c>
    </row>
    <row r="18" spans="1:20" x14ac:dyDescent="0.3">
      <c r="A18">
        <v>17</v>
      </c>
      <c r="B18">
        <v>3</v>
      </c>
      <c r="C18">
        <v>1773051271.2070601</v>
      </c>
      <c r="D18">
        <v>1773051338.4131999</v>
      </c>
      <c r="E18">
        <v>67.206144650983703</v>
      </c>
      <c r="F18">
        <v>1773051185</v>
      </c>
      <c r="G18">
        <v>1773051219</v>
      </c>
      <c r="H18">
        <v>33.551000000000002</v>
      </c>
      <c r="I18">
        <v>33.655144650983701</v>
      </c>
      <c r="J18">
        <v>33.655144650983701</v>
      </c>
      <c r="K18">
        <v>66.804482734327095</v>
      </c>
      <c r="L18">
        <v>119.413207054138</v>
      </c>
      <c r="M18">
        <v>119.413207054138</v>
      </c>
      <c r="N18" s="2">
        <v>6.7348986737285502E-6</v>
      </c>
      <c r="O18" s="3">
        <v>46090.426750081017</v>
      </c>
      <c r="P18" s="3">
        <v>46090.427527928237</v>
      </c>
      <c r="Q18" s="1" t="s">
        <v>31</v>
      </c>
      <c r="R18" s="1" t="s">
        <v>37</v>
      </c>
      <c r="T18">
        <f t="shared" si="0"/>
        <v>-33.655144650983701</v>
      </c>
    </row>
    <row r="19" spans="1:20" x14ac:dyDescent="0.3">
      <c r="A19">
        <v>18</v>
      </c>
      <c r="B19">
        <v>1</v>
      </c>
      <c r="C19">
        <v>1773051315.4324801</v>
      </c>
      <c r="D19">
        <v>1773051382.6521599</v>
      </c>
      <c r="E19">
        <v>67.219682335233799</v>
      </c>
      <c r="F19">
        <v>1773051198</v>
      </c>
      <c r="G19">
        <v>1773051232</v>
      </c>
      <c r="H19">
        <v>33.956000000000003</v>
      </c>
      <c r="I19">
        <v>33.263682335233803</v>
      </c>
      <c r="J19">
        <v>33.263682335233803</v>
      </c>
      <c r="K19">
        <v>65.754302946074404</v>
      </c>
      <c r="L19">
        <v>150.65216946601799</v>
      </c>
      <c r="M19">
        <v>150.65216946601799</v>
      </c>
      <c r="N19" s="2">
        <v>8.4967743935856601E-6</v>
      </c>
      <c r="O19" s="3">
        <v>46090.427261944445</v>
      </c>
      <c r="P19" s="3">
        <v>46090.428039953702</v>
      </c>
      <c r="Q19" s="1" t="s">
        <v>33</v>
      </c>
      <c r="R19" s="1" t="s">
        <v>38</v>
      </c>
      <c r="T19">
        <f t="shared" si="0"/>
        <v>-33.263682335233796</v>
      </c>
    </row>
    <row r="20" spans="1:20" x14ac:dyDescent="0.3">
      <c r="A20">
        <v>19</v>
      </c>
      <c r="B20">
        <v>2</v>
      </c>
      <c r="C20">
        <v>1773051315.4545901</v>
      </c>
      <c r="D20">
        <v>1773051382.5471201</v>
      </c>
      <c r="E20">
        <v>67.092534432572293</v>
      </c>
      <c r="F20">
        <v>1773051206</v>
      </c>
      <c r="G20">
        <v>1773051326</v>
      </c>
      <c r="H20">
        <v>120.52</v>
      </c>
      <c r="I20">
        <v>-53.427465567427603</v>
      </c>
      <c r="J20">
        <v>53.427465567427603</v>
      </c>
      <c r="K20">
        <v>56.955113078150198</v>
      </c>
      <c r="L20">
        <v>56.547127008438103</v>
      </c>
      <c r="M20">
        <v>56.547127008438103</v>
      </c>
      <c r="N20" s="2">
        <v>3.18925488943923E-6</v>
      </c>
      <c r="O20" s="3">
        <v>46090.427262210651</v>
      </c>
      <c r="P20" s="3">
        <v>46090.428038738428</v>
      </c>
      <c r="Q20" s="1" t="s">
        <v>35</v>
      </c>
      <c r="R20" s="1" t="s">
        <v>39</v>
      </c>
      <c r="T20">
        <f t="shared" si="0"/>
        <v>53.427465567427703</v>
      </c>
    </row>
    <row r="21" spans="1:20" x14ac:dyDescent="0.3">
      <c r="A21">
        <v>20</v>
      </c>
      <c r="B21">
        <v>4</v>
      </c>
      <c r="C21">
        <v>1773051315.5165401</v>
      </c>
      <c r="D21">
        <v>1773051382.24898</v>
      </c>
      <c r="E21">
        <v>66.732436030668893</v>
      </c>
      <c r="F21">
        <v>1773051218</v>
      </c>
      <c r="G21">
        <v>1773051248</v>
      </c>
      <c r="H21">
        <v>30.582999999999998</v>
      </c>
      <c r="I21">
        <v>36.149436030668902</v>
      </c>
      <c r="J21">
        <v>36.149436030668902</v>
      </c>
      <c r="K21">
        <v>74.293323865448002</v>
      </c>
      <c r="L21">
        <v>134.248983383178</v>
      </c>
      <c r="M21">
        <v>134.248983383178</v>
      </c>
      <c r="N21" s="2">
        <v>7.57163553237333E-6</v>
      </c>
      <c r="O21" s="3">
        <v>46090.427262928242</v>
      </c>
      <c r="P21" s="3">
        <v>46090.428035289355</v>
      </c>
      <c r="Q21" s="1" t="s">
        <v>36</v>
      </c>
      <c r="R21" s="1" t="s">
        <v>40</v>
      </c>
      <c r="T21">
        <f t="shared" si="0"/>
        <v>-36.149436030668895</v>
      </c>
    </row>
    <row r="22" spans="1:20" x14ac:dyDescent="0.3">
      <c r="A22">
        <v>21</v>
      </c>
      <c r="B22">
        <v>3</v>
      </c>
      <c r="C22">
        <v>1773051338.4131999</v>
      </c>
      <c r="D22">
        <v>1773051405.10199</v>
      </c>
      <c r="E22">
        <v>66.688786592195498</v>
      </c>
      <c r="F22">
        <v>1773051219</v>
      </c>
      <c r="G22">
        <v>1773051255</v>
      </c>
      <c r="H22">
        <v>35.950000000000003</v>
      </c>
      <c r="I22">
        <v>30.738786592195499</v>
      </c>
      <c r="J22">
        <v>30.738786592195499</v>
      </c>
      <c r="K22">
        <v>59.897018686175301</v>
      </c>
      <c r="L22">
        <v>150.10199356079099</v>
      </c>
      <c r="M22">
        <v>150.10199356079099</v>
      </c>
      <c r="N22" s="2">
        <v>8.4657443931120494E-6</v>
      </c>
      <c r="O22" s="3">
        <v>46090.427527928237</v>
      </c>
      <c r="P22" s="3">
        <v>46090.428299791667</v>
      </c>
      <c r="Q22" s="1" t="s">
        <v>37</v>
      </c>
      <c r="R22" s="1" t="s">
        <v>41</v>
      </c>
      <c r="T22">
        <f t="shared" si="0"/>
        <v>-30.738786592195495</v>
      </c>
    </row>
    <row r="23" spans="1:20" x14ac:dyDescent="0.3">
      <c r="A23">
        <v>22</v>
      </c>
      <c r="B23">
        <v>4</v>
      </c>
      <c r="C23">
        <v>1773051382.24898</v>
      </c>
      <c r="D23">
        <v>1773051449.18625</v>
      </c>
      <c r="E23">
        <v>66.937275181228699</v>
      </c>
      <c r="F23">
        <v>1773051232</v>
      </c>
      <c r="G23">
        <v>1773051259</v>
      </c>
      <c r="H23">
        <v>26.917999999999999</v>
      </c>
      <c r="I23">
        <v>40.0192751812287</v>
      </c>
      <c r="J23">
        <v>40.0192751812287</v>
      </c>
      <c r="K23">
        <v>85.278691270051695</v>
      </c>
      <c r="L23">
        <v>190.18625855445799</v>
      </c>
      <c r="M23">
        <v>190.18625855445799</v>
      </c>
      <c r="N23" s="2">
        <v>1.07264946452571E-5</v>
      </c>
      <c r="O23" s="3">
        <v>46090.428035289355</v>
      </c>
      <c r="P23" s="3">
        <v>46090.42881002315</v>
      </c>
      <c r="Q23" s="1" t="s">
        <v>38</v>
      </c>
      <c r="R23" s="1" t="s">
        <v>42</v>
      </c>
      <c r="T23">
        <f t="shared" si="0"/>
        <v>-40.0192751812287</v>
      </c>
    </row>
    <row r="24" spans="1:20" x14ac:dyDescent="0.3">
      <c r="A24">
        <v>23</v>
      </c>
      <c r="B24">
        <v>2</v>
      </c>
      <c r="C24">
        <v>1773051382.5471201</v>
      </c>
      <c r="D24">
        <v>1773051449.8394301</v>
      </c>
      <c r="E24">
        <v>67.292305381593906</v>
      </c>
      <c r="F24">
        <v>1773051248</v>
      </c>
      <c r="G24">
        <v>1773051329</v>
      </c>
      <c r="H24">
        <v>80.146000000000001</v>
      </c>
      <c r="I24">
        <v>-12.853694618405999</v>
      </c>
      <c r="J24">
        <v>12.853694618405999</v>
      </c>
      <c r="K24">
        <v>17.4360314100716</v>
      </c>
      <c r="L24">
        <v>120.83943247795099</v>
      </c>
      <c r="M24">
        <v>120.83943247795099</v>
      </c>
      <c r="N24" s="2">
        <v>6.8153372879676801E-6</v>
      </c>
      <c r="O24" s="3">
        <v>46090.428038738428</v>
      </c>
      <c r="P24" s="3">
        <v>46090.428817581022</v>
      </c>
      <c r="Q24" s="1" t="s">
        <v>40</v>
      </c>
      <c r="R24" s="1" t="s">
        <v>43</v>
      </c>
      <c r="T24">
        <f t="shared" si="0"/>
        <v>12.853694618406095</v>
      </c>
    </row>
    <row r="25" spans="1:20" x14ac:dyDescent="0.3">
      <c r="A25">
        <v>24</v>
      </c>
      <c r="B25">
        <v>1</v>
      </c>
      <c r="C25">
        <v>1773051382.6521599</v>
      </c>
      <c r="D25">
        <v>1773051449.90062</v>
      </c>
      <c r="E25">
        <v>67.248451453708498</v>
      </c>
      <c r="F25">
        <v>1773051255</v>
      </c>
      <c r="G25">
        <v>1773051348</v>
      </c>
      <c r="H25">
        <v>92.787999999999997</v>
      </c>
      <c r="I25">
        <v>-25.5395485462914</v>
      </c>
      <c r="J25">
        <v>25.5395485462914</v>
      </c>
      <c r="K25">
        <v>31.917164263891301</v>
      </c>
      <c r="L25">
        <v>101.900620937347</v>
      </c>
      <c r="M25">
        <v>101.900620937347</v>
      </c>
      <c r="N25" s="2">
        <v>5.7471893368503E-6</v>
      </c>
      <c r="O25" s="3">
        <v>46090.428039953702</v>
      </c>
      <c r="P25" s="3">
        <v>46090.428818298613</v>
      </c>
      <c r="Q25" s="1" t="s">
        <v>41</v>
      </c>
      <c r="R25" s="1" t="s">
        <v>44</v>
      </c>
      <c r="T25">
        <f t="shared" si="0"/>
        <v>25.539548546291499</v>
      </c>
    </row>
    <row r="26" spans="1:20" x14ac:dyDescent="0.3">
      <c r="A26">
        <v>25</v>
      </c>
      <c r="B26">
        <v>3</v>
      </c>
      <c r="C26">
        <v>1773051405.10199</v>
      </c>
      <c r="D26">
        <v>1773051472.4005799</v>
      </c>
      <c r="E26">
        <v>67.298594621928203</v>
      </c>
      <c r="F26">
        <v>1773051259</v>
      </c>
      <c r="G26">
        <v>1773051389</v>
      </c>
      <c r="H26">
        <v>130.32300000000001</v>
      </c>
      <c r="I26">
        <v>-63.024405378071698</v>
      </c>
      <c r="J26">
        <v>63.024405378071698</v>
      </c>
      <c r="K26">
        <v>63.782913500565897</v>
      </c>
      <c r="L26">
        <v>83.400588274002004</v>
      </c>
      <c r="M26">
        <v>83.400588274002004</v>
      </c>
      <c r="N26" s="2">
        <v>4.7037884423387301E-6</v>
      </c>
      <c r="O26" s="3">
        <v>46090.428299791667</v>
      </c>
      <c r="P26" s="3">
        <v>46090.429078715279</v>
      </c>
      <c r="Q26" s="1" t="s">
        <v>42</v>
      </c>
      <c r="R26" s="1" t="s">
        <v>45</v>
      </c>
      <c r="T26">
        <f t="shared" si="0"/>
        <v>63.024405378071805</v>
      </c>
    </row>
    <row r="27" spans="1:20" x14ac:dyDescent="0.3">
      <c r="A27">
        <v>26</v>
      </c>
      <c r="B27">
        <v>4</v>
      </c>
      <c r="C27">
        <v>1773051449.18625</v>
      </c>
      <c r="D27">
        <v>1773051516.3615301</v>
      </c>
      <c r="E27">
        <v>67.175277516670604</v>
      </c>
      <c r="F27">
        <v>1773051326</v>
      </c>
      <c r="G27">
        <v>1773051358</v>
      </c>
      <c r="H27">
        <v>32.110999999999997</v>
      </c>
      <c r="I27">
        <v>35.0642775166706</v>
      </c>
      <c r="J27">
        <v>35.0642775166706</v>
      </c>
      <c r="K27">
        <v>70.632676324849001</v>
      </c>
      <c r="L27">
        <v>158.36153602600001</v>
      </c>
      <c r="M27">
        <v>158.36153602600001</v>
      </c>
      <c r="N27" s="2">
        <v>8.9315816058784497E-6</v>
      </c>
      <c r="O27" s="3">
        <v>46090.42881002315</v>
      </c>
      <c r="P27" s="3">
        <v>46090.429587523147</v>
      </c>
      <c r="Q27" s="1" t="s">
        <v>39</v>
      </c>
      <c r="R27" s="1" t="s">
        <v>46</v>
      </c>
      <c r="T27">
        <f t="shared" si="0"/>
        <v>-35.064277516670607</v>
      </c>
    </row>
    <row r="28" spans="1:20" x14ac:dyDescent="0.3">
      <c r="A28">
        <v>27</v>
      </c>
      <c r="B28">
        <v>2</v>
      </c>
      <c r="C28">
        <v>1773051449.8394301</v>
      </c>
      <c r="D28">
        <v>1773051517.18927</v>
      </c>
      <c r="E28">
        <v>67.349843155638496</v>
      </c>
      <c r="F28">
        <v>1773051328</v>
      </c>
      <c r="G28">
        <v>1773051359</v>
      </c>
      <c r="H28">
        <v>31.187999999999999</v>
      </c>
      <c r="I28">
        <v>36.1618431556385</v>
      </c>
      <c r="J28">
        <v>36.1618431556385</v>
      </c>
      <c r="K28">
        <v>73.396863575594296</v>
      </c>
      <c r="L28">
        <v>158.18927574157701</v>
      </c>
      <c r="M28">
        <v>158.18927574157701</v>
      </c>
      <c r="N28" s="2">
        <v>8.9218661310565803E-6</v>
      </c>
      <c r="O28" s="3">
        <v>46090.428817581022</v>
      </c>
      <c r="P28" s="3">
        <v>46090.42959709491</v>
      </c>
      <c r="Q28" s="1" t="s">
        <v>47</v>
      </c>
      <c r="R28" s="1" t="s">
        <v>48</v>
      </c>
      <c r="T28">
        <f t="shared" si="0"/>
        <v>-36.161843155638493</v>
      </c>
    </row>
    <row r="29" spans="1:20" x14ac:dyDescent="0.3">
      <c r="A29">
        <v>28</v>
      </c>
      <c r="B29">
        <v>1</v>
      </c>
      <c r="C29">
        <v>1773051449.90062</v>
      </c>
      <c r="D29">
        <v>1773051516.57406</v>
      </c>
      <c r="E29">
        <v>66.673443606136203</v>
      </c>
      <c r="F29">
        <v>1773051347</v>
      </c>
      <c r="G29">
        <v>1773051418</v>
      </c>
      <c r="H29">
        <v>70.463999999999999</v>
      </c>
      <c r="I29">
        <v>-3.7905563938637501</v>
      </c>
      <c r="J29">
        <v>3.7905563938637501</v>
      </c>
      <c r="K29">
        <v>5.5281129561527598</v>
      </c>
      <c r="L29">
        <v>98.574064493179307</v>
      </c>
      <c r="M29">
        <v>98.574064493179307</v>
      </c>
      <c r="N29" s="2">
        <v>5.5595715246782198E-6</v>
      </c>
      <c r="O29" s="3">
        <v>46090.428818298613</v>
      </c>
      <c r="P29" s="3">
        <v>46090.429589976855</v>
      </c>
      <c r="Q29" s="1" t="s">
        <v>49</v>
      </c>
      <c r="R29" s="1" t="s">
        <v>50</v>
      </c>
      <c r="T29">
        <f t="shared" si="0"/>
        <v>3.7905563938637954</v>
      </c>
    </row>
    <row r="30" spans="1:20" x14ac:dyDescent="0.3">
      <c r="A30">
        <v>29</v>
      </c>
      <c r="B30">
        <v>3</v>
      </c>
      <c r="C30">
        <v>1773051472.4005799</v>
      </c>
      <c r="D30">
        <v>1773051539.5613401</v>
      </c>
      <c r="E30">
        <v>67.160753539506402</v>
      </c>
      <c r="F30">
        <v>1773051358</v>
      </c>
      <c r="G30">
        <v>1773051563</v>
      </c>
      <c r="H30">
        <v>204.852</v>
      </c>
      <c r="I30">
        <v>-137.69124646049301</v>
      </c>
      <c r="J30">
        <v>137.69124646049301</v>
      </c>
      <c r="K30">
        <v>101.23881668695</v>
      </c>
      <c r="L30">
        <v>-23.438658237457201</v>
      </c>
      <c r="M30">
        <v>23.438658237457201</v>
      </c>
      <c r="N30" s="2">
        <v>1.3219389036109801E-6</v>
      </c>
      <c r="O30" s="3">
        <v>46090.429078715279</v>
      </c>
      <c r="P30" s="3">
        <v>46090.429856030096</v>
      </c>
      <c r="Q30" s="1" t="s">
        <v>46</v>
      </c>
      <c r="R30" s="1" t="s">
        <v>51</v>
      </c>
      <c r="T30">
        <f t="shared" si="0"/>
        <v>137.6912464604936</v>
      </c>
    </row>
    <row r="31" spans="1:20" x14ac:dyDescent="0.3">
      <c r="A31">
        <v>30</v>
      </c>
      <c r="B31">
        <v>4</v>
      </c>
      <c r="C31">
        <v>1773051516.3615301</v>
      </c>
      <c r="D31">
        <v>1773051583.7535</v>
      </c>
      <c r="E31">
        <v>67.391971836202998</v>
      </c>
      <c r="F31">
        <v>1773051359</v>
      </c>
      <c r="G31">
        <v>1773051392</v>
      </c>
      <c r="H31">
        <v>32.878</v>
      </c>
      <c r="I31">
        <v>34.513971836202998</v>
      </c>
      <c r="J31">
        <v>34.513971836202998</v>
      </c>
      <c r="K31">
        <v>68.842089419519596</v>
      </c>
      <c r="L31">
        <v>191.75350785255401</v>
      </c>
      <c r="M31">
        <v>191.75350785255401</v>
      </c>
      <c r="N31" s="2">
        <v>1.08148866044595E-5</v>
      </c>
      <c r="O31" s="3">
        <v>46090.429587523147</v>
      </c>
      <c r="P31" s="3">
        <v>46090.430367523149</v>
      </c>
      <c r="Q31" s="1" t="s">
        <v>48</v>
      </c>
      <c r="R31" s="1" t="s">
        <v>52</v>
      </c>
      <c r="T31">
        <f t="shared" si="0"/>
        <v>-34.513971836202998</v>
      </c>
    </row>
    <row r="32" spans="1:20" x14ac:dyDescent="0.3">
      <c r="A32">
        <v>31</v>
      </c>
      <c r="B32">
        <v>1</v>
      </c>
      <c r="C32">
        <v>1773051516.57406</v>
      </c>
      <c r="D32">
        <v>1773051583.7422299</v>
      </c>
      <c r="E32">
        <v>67.168170351709307</v>
      </c>
      <c r="F32">
        <v>1773051389</v>
      </c>
      <c r="G32">
        <v>1773051482</v>
      </c>
      <c r="H32">
        <v>92.933000000000007</v>
      </c>
      <c r="I32">
        <v>-25.764829648290601</v>
      </c>
      <c r="J32">
        <v>25.764829648290601</v>
      </c>
      <c r="K32">
        <v>32.185685578300998</v>
      </c>
      <c r="L32">
        <v>101.742234945297</v>
      </c>
      <c r="M32">
        <v>101.742234945297</v>
      </c>
      <c r="N32" s="2">
        <v>5.7382559423157402E-6</v>
      </c>
      <c r="O32" s="3">
        <v>46090.429589976855</v>
      </c>
      <c r="P32" s="3">
        <v>46090.430367384259</v>
      </c>
      <c r="Q32" s="1" t="s">
        <v>45</v>
      </c>
      <c r="R32" s="1" t="s">
        <v>53</v>
      </c>
      <c r="T32">
        <f t="shared" si="0"/>
        <v>25.7648296482907</v>
      </c>
    </row>
    <row r="33" spans="1:20" x14ac:dyDescent="0.3">
      <c r="A33">
        <v>32</v>
      </c>
      <c r="B33">
        <v>2</v>
      </c>
      <c r="C33">
        <v>1773051517.18927</v>
      </c>
      <c r="D33">
        <v>1773051584.14956</v>
      </c>
      <c r="E33">
        <v>66.9602921302466</v>
      </c>
      <c r="F33">
        <v>1773051392</v>
      </c>
      <c r="G33">
        <v>1773051473</v>
      </c>
      <c r="H33">
        <v>80.352999999999994</v>
      </c>
      <c r="I33">
        <v>-13.3927078697533</v>
      </c>
      <c r="J33">
        <v>13.3927078697533</v>
      </c>
      <c r="K33">
        <v>18.182619743386301</v>
      </c>
      <c r="L33">
        <v>111.14956784248299</v>
      </c>
      <c r="M33">
        <v>111.14956784248299</v>
      </c>
      <c r="N33" s="2">
        <v>6.2688289680914E-6</v>
      </c>
      <c r="O33" s="3">
        <v>46090.42959709491</v>
      </c>
      <c r="P33" s="3">
        <v>46090.430372106479</v>
      </c>
      <c r="Q33" s="1" t="s">
        <v>52</v>
      </c>
      <c r="R33" s="1" t="s">
        <v>54</v>
      </c>
      <c r="T33">
        <f t="shared" si="0"/>
        <v>13.392707869753394</v>
      </c>
    </row>
    <row r="34" spans="1:20" x14ac:dyDescent="0.3">
      <c r="A34">
        <v>33</v>
      </c>
      <c r="B34">
        <v>3</v>
      </c>
      <c r="C34">
        <v>1773051539.5613401</v>
      </c>
      <c r="D34">
        <v>1773051606.7252901</v>
      </c>
      <c r="E34">
        <v>67.163949389077899</v>
      </c>
      <c r="F34">
        <v>1773051418</v>
      </c>
      <c r="G34">
        <v>1773051449</v>
      </c>
      <c r="H34">
        <v>30.995999999999999</v>
      </c>
      <c r="I34">
        <v>36.167949389077897</v>
      </c>
      <c r="J34">
        <v>36.167949389077897</v>
      </c>
      <c r="K34">
        <v>73.691866416349797</v>
      </c>
      <c r="L34">
        <v>157.725291252136</v>
      </c>
      <c r="M34">
        <v>157.725291252136</v>
      </c>
      <c r="N34" s="2">
        <v>8.8956969819297196E-6</v>
      </c>
      <c r="O34" s="3">
        <v>46090.429856030096</v>
      </c>
      <c r="P34" s="3">
        <v>46090.430633391203</v>
      </c>
      <c r="Q34" s="1" t="s">
        <v>50</v>
      </c>
      <c r="R34" s="1" t="s">
        <v>55</v>
      </c>
      <c r="T34">
        <f t="shared" si="0"/>
        <v>-36.167949389077904</v>
      </c>
    </row>
    <row r="35" spans="1:20" x14ac:dyDescent="0.3">
      <c r="A35">
        <v>34</v>
      </c>
      <c r="B35">
        <v>1</v>
      </c>
      <c r="C35">
        <v>1773051583.7422299</v>
      </c>
      <c r="D35">
        <v>1773051651.2086999</v>
      </c>
      <c r="E35">
        <v>67.466468573496599</v>
      </c>
      <c r="F35">
        <v>1773051449</v>
      </c>
      <c r="G35">
        <v>1773051483</v>
      </c>
      <c r="H35">
        <v>34.664000000000001</v>
      </c>
      <c r="I35">
        <v>32.802468573496597</v>
      </c>
      <c r="J35">
        <v>32.802468573496597</v>
      </c>
      <c r="K35">
        <v>64.236400814886693</v>
      </c>
      <c r="L35">
        <v>168.20870351791299</v>
      </c>
      <c r="M35">
        <v>168.20870351791299</v>
      </c>
      <c r="N35" s="2">
        <v>9.4869605959979398E-6</v>
      </c>
      <c r="O35" s="3">
        <v>46090.430367384259</v>
      </c>
      <c r="P35" s="3">
        <v>46090.431148252312</v>
      </c>
      <c r="Q35" s="1" t="s">
        <v>55</v>
      </c>
      <c r="R35" s="1" t="s">
        <v>56</v>
      </c>
      <c r="T35">
        <f t="shared" si="0"/>
        <v>-32.802468573496597</v>
      </c>
    </row>
    <row r="36" spans="1:20" x14ac:dyDescent="0.3">
      <c r="A36">
        <v>35</v>
      </c>
      <c r="B36">
        <v>4</v>
      </c>
      <c r="C36">
        <v>1773051583.7535</v>
      </c>
      <c r="D36">
        <v>1773051651.207</v>
      </c>
      <c r="E36">
        <v>67.453501452512896</v>
      </c>
      <c r="F36">
        <v>1773051472</v>
      </c>
      <c r="G36">
        <v>1773051501</v>
      </c>
      <c r="H36">
        <v>28.068000000000001</v>
      </c>
      <c r="I36">
        <v>39.385501452512898</v>
      </c>
      <c r="J36">
        <v>39.385501452512898</v>
      </c>
      <c r="K36">
        <v>82.464159071228195</v>
      </c>
      <c r="L36">
        <v>150.20700931549001</v>
      </c>
      <c r="M36">
        <v>150.20700931549001</v>
      </c>
      <c r="N36" s="2">
        <v>8.47166610040689E-6</v>
      </c>
      <c r="O36" s="3">
        <v>46090.430367523149</v>
      </c>
      <c r="P36" s="3">
        <v>46090.431148229167</v>
      </c>
      <c r="Q36" s="1" t="s">
        <v>57</v>
      </c>
      <c r="R36" s="1" t="s">
        <v>58</v>
      </c>
      <c r="T36">
        <f t="shared" si="0"/>
        <v>-39.385501452512898</v>
      </c>
    </row>
    <row r="37" spans="1:20" x14ac:dyDescent="0.3">
      <c r="A37">
        <v>36</v>
      </c>
      <c r="B37">
        <v>2</v>
      </c>
      <c r="C37">
        <v>1773051584.14956</v>
      </c>
      <c r="D37">
        <v>1773051650.9883001</v>
      </c>
      <c r="E37">
        <v>66.838736015878098</v>
      </c>
      <c r="F37">
        <v>1773051482</v>
      </c>
      <c r="G37">
        <v>1773051515</v>
      </c>
      <c r="H37">
        <v>33.451999999999998</v>
      </c>
      <c r="I37">
        <v>33.3867360158781</v>
      </c>
      <c r="J37">
        <v>33.3867360158781</v>
      </c>
      <c r="K37">
        <v>66.579900282299903</v>
      </c>
      <c r="L37">
        <v>135.98830389976499</v>
      </c>
      <c r="M37">
        <v>135.98830389976499</v>
      </c>
      <c r="N37" s="2">
        <v>7.6697319583969193E-6</v>
      </c>
      <c r="O37" s="3">
        <v>46090.430372106479</v>
      </c>
      <c r="P37" s="3">
        <v>46090.431145694442</v>
      </c>
      <c r="Q37" s="1" t="s">
        <v>53</v>
      </c>
      <c r="R37" s="1" t="s">
        <v>59</v>
      </c>
      <c r="T37">
        <f t="shared" si="0"/>
        <v>-33.3867360158781</v>
      </c>
    </row>
    <row r="38" spans="1:20" x14ac:dyDescent="0.3">
      <c r="A38">
        <v>37</v>
      </c>
      <c r="B38">
        <v>3</v>
      </c>
      <c r="C38">
        <v>1773051606.7252901</v>
      </c>
      <c r="D38">
        <v>1773051673.3954201</v>
      </c>
      <c r="E38">
        <v>66.670135140408107</v>
      </c>
      <c r="F38">
        <v>1773051483</v>
      </c>
      <c r="G38">
        <v>1773051543</v>
      </c>
      <c r="H38">
        <v>59.23</v>
      </c>
      <c r="I38">
        <v>7.4401351404081204</v>
      </c>
      <c r="J38">
        <v>7.4401351404081204</v>
      </c>
      <c r="K38">
        <v>11.8191058843751</v>
      </c>
      <c r="L38">
        <v>130.39542627334501</v>
      </c>
      <c r="M38">
        <v>130.39542627334501</v>
      </c>
      <c r="N38" s="2">
        <v>7.35429390044046E-6</v>
      </c>
      <c r="O38" s="3">
        <v>46090.430633391203</v>
      </c>
      <c r="P38" s="3">
        <v>46090.431405034724</v>
      </c>
      <c r="Q38" s="1" t="s">
        <v>56</v>
      </c>
      <c r="R38" s="1" t="s">
        <v>60</v>
      </c>
      <c r="T38">
        <f t="shared" si="0"/>
        <v>-7.4401351404081097</v>
      </c>
    </row>
    <row r="39" spans="1:20" x14ac:dyDescent="0.3">
      <c r="A39">
        <v>38</v>
      </c>
      <c r="B39">
        <v>2</v>
      </c>
      <c r="C39">
        <v>1773051650.9883001</v>
      </c>
      <c r="D39">
        <v>1773051717.6181099</v>
      </c>
      <c r="E39">
        <v>66.629808893916803</v>
      </c>
      <c r="F39">
        <v>1773051501</v>
      </c>
      <c r="G39">
        <v>1773051564</v>
      </c>
      <c r="H39">
        <v>63.006999999999998</v>
      </c>
      <c r="I39">
        <v>3.6228088939168002</v>
      </c>
      <c r="J39">
        <v>3.6228088939168002</v>
      </c>
      <c r="K39">
        <v>5.58916703492969</v>
      </c>
      <c r="L39">
        <v>153.61811280250501</v>
      </c>
      <c r="M39">
        <v>153.61811280250501</v>
      </c>
      <c r="N39" s="2">
        <v>8.6640518113961094E-6</v>
      </c>
      <c r="O39" s="3">
        <v>46090.431145694442</v>
      </c>
      <c r="P39" s="3">
        <v>46090.431916875001</v>
      </c>
      <c r="Q39" s="1" t="s">
        <v>58</v>
      </c>
      <c r="R39" s="1" t="s">
        <v>61</v>
      </c>
      <c r="T39">
        <f t="shared" si="0"/>
        <v>-3.6228088939168046</v>
      </c>
    </row>
    <row r="40" spans="1:20" x14ac:dyDescent="0.3">
      <c r="A40">
        <v>39</v>
      </c>
      <c r="B40">
        <v>4</v>
      </c>
      <c r="C40">
        <v>1773051651.207</v>
      </c>
      <c r="D40">
        <v>1773051717.8710101</v>
      </c>
      <c r="E40">
        <v>66.664003138766006</v>
      </c>
      <c r="F40">
        <v>1773051515</v>
      </c>
      <c r="G40">
        <v>1773051563</v>
      </c>
      <c r="H40">
        <v>48.828000000000003</v>
      </c>
      <c r="I40">
        <v>17.836003138765999</v>
      </c>
      <c r="J40">
        <v>17.836003138765999</v>
      </c>
      <c r="K40">
        <v>30.886992439356501</v>
      </c>
      <c r="L40">
        <v>154.87101244926399</v>
      </c>
      <c r="M40">
        <v>154.87101244926399</v>
      </c>
      <c r="N40" s="2">
        <v>8.7347152737877493E-6</v>
      </c>
      <c r="O40" s="3">
        <v>46090.431148229167</v>
      </c>
      <c r="P40" s="3">
        <v>46090.431919803239</v>
      </c>
      <c r="Q40" s="1" t="s">
        <v>59</v>
      </c>
      <c r="R40" s="1" t="s">
        <v>51</v>
      </c>
      <c r="T40">
        <f t="shared" si="0"/>
        <v>-17.836003138766003</v>
      </c>
    </row>
    <row r="41" spans="1:20" x14ac:dyDescent="0.3">
      <c r="A41">
        <v>40</v>
      </c>
      <c r="B41">
        <v>1</v>
      </c>
      <c r="C41">
        <v>1773051651.2086999</v>
      </c>
      <c r="D41">
        <v>1773051718.3720901</v>
      </c>
      <c r="E41">
        <v>67.163389163574905</v>
      </c>
      <c r="F41">
        <v>1773051543</v>
      </c>
      <c r="G41">
        <v>1773051573</v>
      </c>
      <c r="H41">
        <v>30.416</v>
      </c>
      <c r="I41">
        <v>36.747389163574901</v>
      </c>
      <c r="J41">
        <v>36.747389163574901</v>
      </c>
      <c r="K41">
        <v>75.317932359618098</v>
      </c>
      <c r="L41">
        <v>145.37209272384601</v>
      </c>
      <c r="M41">
        <v>145.37209272384601</v>
      </c>
      <c r="N41" s="2">
        <v>8.1989767798104694E-6</v>
      </c>
      <c r="O41" s="3">
        <v>46090.431148252312</v>
      </c>
      <c r="P41" s="3">
        <v>46090.43192560185</v>
      </c>
      <c r="Q41" s="1" t="s">
        <v>60</v>
      </c>
      <c r="R41" s="1" t="s">
        <v>62</v>
      </c>
      <c r="T41">
        <f t="shared" si="0"/>
        <v>-36.747389163574908</v>
      </c>
    </row>
    <row r="42" spans="1:20" x14ac:dyDescent="0.3">
      <c r="A42">
        <v>41</v>
      </c>
      <c r="B42">
        <v>3</v>
      </c>
      <c r="C42">
        <v>1773051673.3954201</v>
      </c>
      <c r="D42">
        <v>1773051740.77335</v>
      </c>
      <c r="E42">
        <v>67.377929017585501</v>
      </c>
      <c r="F42">
        <v>1773051563</v>
      </c>
      <c r="G42">
        <v>1773051598</v>
      </c>
      <c r="H42">
        <v>35.201000000000001</v>
      </c>
      <c r="I42">
        <v>32.176929017585501</v>
      </c>
      <c r="J42">
        <v>32.176929017585501</v>
      </c>
      <c r="K42">
        <v>62.735942606827798</v>
      </c>
      <c r="L42">
        <v>142.77335524559001</v>
      </c>
      <c r="M42">
        <v>142.77335524559001</v>
      </c>
      <c r="N42" s="2">
        <v>8.0524080437530206E-6</v>
      </c>
      <c r="O42" s="3">
        <v>46090.431405034724</v>
      </c>
      <c r="P42" s="3">
        <v>46090.432184872683</v>
      </c>
      <c r="Q42" s="1" t="s">
        <v>51</v>
      </c>
      <c r="R42" s="1" t="s">
        <v>63</v>
      </c>
      <c r="T42">
        <f t="shared" si="0"/>
        <v>-32.176929017585501</v>
      </c>
    </row>
    <row r="43" spans="1:20" x14ac:dyDescent="0.3">
      <c r="A43">
        <v>42</v>
      </c>
      <c r="B43">
        <v>2</v>
      </c>
      <c r="C43">
        <v>1773051717.6181099</v>
      </c>
      <c r="D43">
        <v>1773051784.7502</v>
      </c>
      <c r="E43">
        <v>67.132089631066194</v>
      </c>
      <c r="F43">
        <v>1773051563</v>
      </c>
      <c r="G43">
        <v>1773051593</v>
      </c>
      <c r="H43">
        <v>30.437000000000001</v>
      </c>
      <c r="I43">
        <v>36.695089631066203</v>
      </c>
      <c r="J43">
        <v>36.695089631066203</v>
      </c>
      <c r="K43">
        <v>75.218677902642597</v>
      </c>
      <c r="L43">
        <v>191.750202417373</v>
      </c>
      <c r="M43">
        <v>191.750202417373</v>
      </c>
      <c r="N43" s="2">
        <v>1.08146989521229E-5</v>
      </c>
      <c r="O43" s="3">
        <v>46090.431916875001</v>
      </c>
      <c r="P43" s="3">
        <v>46090.43269386574</v>
      </c>
      <c r="Q43" s="1" t="s">
        <v>51</v>
      </c>
      <c r="R43" s="1" t="s">
        <v>64</v>
      </c>
      <c r="T43">
        <f t="shared" si="0"/>
        <v>-36.695089631066196</v>
      </c>
    </row>
    <row r="44" spans="1:20" x14ac:dyDescent="0.3">
      <c r="A44">
        <v>43</v>
      </c>
      <c r="B44">
        <v>4</v>
      </c>
      <c r="C44">
        <v>1773051717.8710101</v>
      </c>
      <c r="D44">
        <v>1773051784.82586</v>
      </c>
      <c r="E44">
        <v>66.954852304270503</v>
      </c>
      <c r="F44">
        <v>1773051563</v>
      </c>
      <c r="G44">
        <v>1773051654</v>
      </c>
      <c r="H44">
        <v>90.41</v>
      </c>
      <c r="I44">
        <v>-23.455147695729401</v>
      </c>
      <c r="J44">
        <v>23.455147695729401</v>
      </c>
      <c r="K44">
        <v>29.8098938260725</v>
      </c>
      <c r="L44">
        <v>130.82586479187</v>
      </c>
      <c r="M44">
        <v>130.82586479187</v>
      </c>
      <c r="N44" s="2">
        <v>7.3785701431872101E-6</v>
      </c>
      <c r="O44" s="3">
        <v>46090.431919803239</v>
      </c>
      <c r="P44" s="3">
        <v>46090.432694745374</v>
      </c>
      <c r="Q44" s="1" t="s">
        <v>51</v>
      </c>
      <c r="R44" s="1" t="s">
        <v>65</v>
      </c>
      <c r="T44">
        <f t="shared" si="0"/>
        <v>23.455147695729494</v>
      </c>
    </row>
    <row r="45" spans="1:20" x14ac:dyDescent="0.3">
      <c r="A45">
        <v>44</v>
      </c>
      <c r="B45">
        <v>1</v>
      </c>
      <c r="C45">
        <v>1773051718.3720901</v>
      </c>
      <c r="D45">
        <v>1773051785.7261901</v>
      </c>
      <c r="E45">
        <v>67.354098789412006</v>
      </c>
      <c r="F45">
        <v>1773051573</v>
      </c>
      <c r="G45">
        <v>1773051611</v>
      </c>
      <c r="H45">
        <v>37.186999999999998</v>
      </c>
      <c r="I45">
        <v>30.167098789412002</v>
      </c>
      <c r="J45">
        <v>30.167098789412002</v>
      </c>
      <c r="K45">
        <v>57.713376153010898</v>
      </c>
      <c r="L45">
        <v>174.72619152069001</v>
      </c>
      <c r="M45">
        <v>174.72619152069001</v>
      </c>
      <c r="N45" s="2">
        <v>9.8545457914171502E-6</v>
      </c>
      <c r="O45" s="3">
        <v>46090.43192560185</v>
      </c>
      <c r="P45" s="3">
        <v>46090.432705162035</v>
      </c>
      <c r="Q45" s="1" t="s">
        <v>62</v>
      </c>
      <c r="R45" s="1" t="s">
        <v>66</v>
      </c>
      <c r="T45">
        <f t="shared" si="0"/>
        <v>-30.167098789412009</v>
      </c>
    </row>
    <row r="46" spans="1:20" x14ac:dyDescent="0.3">
      <c r="A46">
        <v>45</v>
      </c>
      <c r="B46">
        <v>3</v>
      </c>
      <c r="C46">
        <v>1773051740.77335</v>
      </c>
      <c r="D46">
        <v>1773051808.14079</v>
      </c>
      <c r="E46">
        <v>67.3674358362926</v>
      </c>
      <c r="F46">
        <v>1773051593</v>
      </c>
      <c r="G46">
        <v>1773051632</v>
      </c>
      <c r="H46">
        <v>39.094999999999999</v>
      </c>
      <c r="I46">
        <v>28.272435836292601</v>
      </c>
      <c r="J46">
        <v>28.272435836292601</v>
      </c>
      <c r="K46">
        <v>53.112509805368703</v>
      </c>
      <c r="L46">
        <v>176.14079117774901</v>
      </c>
      <c r="M46">
        <v>176.14079117774901</v>
      </c>
      <c r="N46" s="2">
        <v>9.9343289980709808E-6</v>
      </c>
      <c r="O46" s="3">
        <v>46090.432184872683</v>
      </c>
      <c r="P46" s="3">
        <v>46090.432964594911</v>
      </c>
      <c r="Q46" s="1" t="s">
        <v>64</v>
      </c>
      <c r="R46" s="1" t="s">
        <v>67</v>
      </c>
      <c r="T46">
        <f t="shared" si="0"/>
        <v>-28.272435836292601</v>
      </c>
    </row>
    <row r="47" spans="1:20" x14ac:dyDescent="0.3">
      <c r="A47">
        <v>46</v>
      </c>
      <c r="B47">
        <v>2</v>
      </c>
      <c r="C47">
        <v>1773051784.7502</v>
      </c>
      <c r="D47">
        <v>1773051852.1219699</v>
      </c>
      <c r="E47">
        <v>67.371771289633301</v>
      </c>
      <c r="F47">
        <v>1773051598</v>
      </c>
      <c r="G47">
        <v>1773051638</v>
      </c>
      <c r="H47">
        <v>39.363999999999997</v>
      </c>
      <c r="I47">
        <v>28.0077712896333</v>
      </c>
      <c r="J47">
        <v>28.0077712896333</v>
      </c>
      <c r="K47">
        <v>52.480571323427597</v>
      </c>
      <c r="L47">
        <v>214.12197375297501</v>
      </c>
      <c r="M47">
        <v>214.12197375297501</v>
      </c>
      <c r="N47" s="2">
        <v>1.2076465018544E-5</v>
      </c>
      <c r="O47" s="3">
        <v>46090.43269386574</v>
      </c>
      <c r="P47" s="3">
        <v>46090.433473634257</v>
      </c>
      <c r="Q47" s="1" t="s">
        <v>63</v>
      </c>
      <c r="R47" s="1" t="s">
        <v>68</v>
      </c>
      <c r="T47">
        <f t="shared" si="0"/>
        <v>-28.007771289633304</v>
      </c>
    </row>
    <row r="48" spans="1:20" x14ac:dyDescent="0.3">
      <c r="A48">
        <v>47</v>
      </c>
      <c r="B48">
        <v>4</v>
      </c>
      <c r="C48">
        <v>1773051784.82586</v>
      </c>
      <c r="D48">
        <v>1773051851.7286</v>
      </c>
      <c r="E48">
        <v>66.902740347660895</v>
      </c>
      <c r="F48">
        <v>1773051611</v>
      </c>
      <c r="G48">
        <v>1773051752</v>
      </c>
      <c r="H48">
        <v>140.96600000000001</v>
      </c>
      <c r="I48">
        <v>-74.063259652338999</v>
      </c>
      <c r="J48">
        <v>74.063259652338999</v>
      </c>
      <c r="K48">
        <v>71.259641568489798</v>
      </c>
      <c r="L48">
        <v>99.728605031967106</v>
      </c>
      <c r="M48">
        <v>99.728605031967106</v>
      </c>
      <c r="N48" s="2">
        <v>5.6246864827697602E-6</v>
      </c>
      <c r="O48" s="3">
        <v>46090.432694745374</v>
      </c>
      <c r="P48" s="3">
        <v>46090.433469085649</v>
      </c>
      <c r="Q48" s="1" t="s">
        <v>66</v>
      </c>
      <c r="R48" s="1" t="s">
        <v>69</v>
      </c>
      <c r="T48">
        <f t="shared" si="0"/>
        <v>74.063259652339113</v>
      </c>
    </row>
    <row r="49" spans="1:20" x14ac:dyDescent="0.3">
      <c r="A49">
        <v>48</v>
      </c>
      <c r="B49">
        <v>1</v>
      </c>
      <c r="C49">
        <v>1773051785.7261901</v>
      </c>
      <c r="D49">
        <v>1773051852.6159699</v>
      </c>
      <c r="E49">
        <v>66.889787794823704</v>
      </c>
      <c r="F49">
        <v>1773051632</v>
      </c>
      <c r="G49">
        <v>1773051720</v>
      </c>
      <c r="H49">
        <v>88.820999999999998</v>
      </c>
      <c r="I49">
        <v>-21.931212205176202</v>
      </c>
      <c r="J49">
        <v>21.931212205176202</v>
      </c>
      <c r="K49">
        <v>28.169162221533998</v>
      </c>
      <c r="L49">
        <v>132.61597943305901</v>
      </c>
      <c r="M49">
        <v>132.61597943305901</v>
      </c>
      <c r="N49" s="2">
        <v>7.4795322086561702E-6</v>
      </c>
      <c r="O49" s="3">
        <v>46090.432705162035</v>
      </c>
      <c r="P49" s="3">
        <v>46090.43347935185</v>
      </c>
      <c r="Q49" s="1" t="s">
        <v>67</v>
      </c>
      <c r="R49" s="1" t="s">
        <v>70</v>
      </c>
      <c r="T49">
        <f t="shared" si="0"/>
        <v>21.931212205176294</v>
      </c>
    </row>
    <row r="50" spans="1:20" x14ac:dyDescent="0.3">
      <c r="A50">
        <v>49</v>
      </c>
      <c r="B50">
        <v>3</v>
      </c>
      <c r="C50">
        <v>1773051808.14079</v>
      </c>
      <c r="D50">
        <v>1773051875.0030999</v>
      </c>
      <c r="E50">
        <v>66.862311278435499</v>
      </c>
      <c r="F50">
        <v>1773051638</v>
      </c>
      <c r="G50">
        <v>1773051720</v>
      </c>
      <c r="H50">
        <v>82.004000000000005</v>
      </c>
      <c r="I50">
        <v>-15.1416887215644</v>
      </c>
      <c r="J50">
        <v>15.1416887215644</v>
      </c>
      <c r="K50">
        <v>20.3426666403304</v>
      </c>
      <c r="L50">
        <v>155.003102540969</v>
      </c>
      <c r="M50">
        <v>155.003102540969</v>
      </c>
      <c r="N50" s="2">
        <v>8.7421643721513494E-6</v>
      </c>
      <c r="O50" s="3">
        <v>46090.432964594911</v>
      </c>
      <c r="P50" s="3">
        <v>46090.433738460648</v>
      </c>
      <c r="Q50" s="1" t="s">
        <v>68</v>
      </c>
      <c r="R50" s="1" t="s">
        <v>70</v>
      </c>
      <c r="T50">
        <f t="shared" si="0"/>
        <v>15.141688721564506</v>
      </c>
    </row>
    <row r="51" spans="1:20" x14ac:dyDescent="0.3">
      <c r="A51">
        <v>50</v>
      </c>
      <c r="B51">
        <v>4</v>
      </c>
      <c r="C51">
        <v>1773051851.7286</v>
      </c>
      <c r="D51">
        <v>1773051918.76019</v>
      </c>
      <c r="E51">
        <v>67.031587435991099</v>
      </c>
      <c r="F51">
        <v>1773051654</v>
      </c>
      <c r="G51">
        <v>1773051679</v>
      </c>
      <c r="H51">
        <v>24.875</v>
      </c>
      <c r="I51">
        <v>42.156587435991099</v>
      </c>
      <c r="J51">
        <v>42.156587435991099</v>
      </c>
      <c r="K51">
        <v>91.737901737133498</v>
      </c>
      <c r="L51">
        <v>239.76019239425599</v>
      </c>
      <c r="M51">
        <v>239.76019239425599</v>
      </c>
      <c r="N51" s="2">
        <v>1.3522458427085699E-5</v>
      </c>
      <c r="O51" s="3">
        <v>46090.433469085649</v>
      </c>
      <c r="P51" s="3">
        <v>46090.43424490741</v>
      </c>
      <c r="Q51" s="1" t="s">
        <v>65</v>
      </c>
      <c r="R51" s="1" t="s">
        <v>71</v>
      </c>
      <c r="T51">
        <f t="shared" si="0"/>
        <v>-42.156587435991099</v>
      </c>
    </row>
    <row r="52" spans="1:20" x14ac:dyDescent="0.3">
      <c r="A52">
        <v>51</v>
      </c>
      <c r="B52">
        <v>2</v>
      </c>
      <c r="C52">
        <v>1773051852.1219699</v>
      </c>
      <c r="D52">
        <v>1773051919.4409699</v>
      </c>
      <c r="E52">
        <v>67.319003071744504</v>
      </c>
      <c r="F52">
        <v>1773051679</v>
      </c>
      <c r="G52">
        <v>1773051720</v>
      </c>
      <c r="H52">
        <v>41.027999999999999</v>
      </c>
      <c r="I52">
        <v>26.291003071744498</v>
      </c>
      <c r="J52">
        <v>26.291003071744498</v>
      </c>
      <c r="K52">
        <v>48.531112677542701</v>
      </c>
      <c r="L52">
        <v>199.44097685813901</v>
      </c>
      <c r="M52">
        <v>199.44097685813901</v>
      </c>
      <c r="N52" s="2">
        <v>1.12484573005643E-5</v>
      </c>
      <c r="O52" s="3">
        <v>46090.433473634257</v>
      </c>
      <c r="P52" s="3">
        <v>46090.434252789353</v>
      </c>
      <c r="Q52" s="1" t="s">
        <v>71</v>
      </c>
      <c r="R52" s="1" t="s">
        <v>70</v>
      </c>
      <c r="T52">
        <f t="shared" si="0"/>
        <v>-26.291003071744505</v>
      </c>
    </row>
    <row r="53" spans="1:20" x14ac:dyDescent="0.3">
      <c r="A53">
        <v>52</v>
      </c>
      <c r="B53">
        <v>1</v>
      </c>
      <c r="C53">
        <v>1773051852.6159699</v>
      </c>
      <c r="D53">
        <v>1773051919.60375</v>
      </c>
      <c r="E53">
        <v>66.987772929317202</v>
      </c>
      <c r="F53">
        <v>1773051719</v>
      </c>
      <c r="G53">
        <v>1773051837</v>
      </c>
      <c r="H53">
        <v>118.265</v>
      </c>
      <c r="I53">
        <v>-51.277227070682699</v>
      </c>
      <c r="J53">
        <v>51.277227070682699</v>
      </c>
      <c r="K53">
        <v>55.359200577523701</v>
      </c>
      <c r="L53">
        <v>82.603752374649005</v>
      </c>
      <c r="M53">
        <v>82.603752374649005</v>
      </c>
      <c r="N53" s="2">
        <v>4.65884576675568E-6</v>
      </c>
      <c r="O53" s="3">
        <v>46090.43347935185</v>
      </c>
      <c r="P53" s="3">
        <v>46090.434254675929</v>
      </c>
      <c r="Q53" s="1" t="s">
        <v>72</v>
      </c>
      <c r="R53" s="1" t="s">
        <v>73</v>
      </c>
      <c r="T53">
        <f t="shared" si="0"/>
        <v>51.277227070682798</v>
      </c>
    </row>
    <row r="54" spans="1:20" x14ac:dyDescent="0.3">
      <c r="A54">
        <v>53</v>
      </c>
      <c r="B54">
        <v>3</v>
      </c>
      <c r="C54">
        <v>1773051875.0030999</v>
      </c>
      <c r="D54">
        <v>1773051941.98542</v>
      </c>
      <c r="E54">
        <v>66.982324445515403</v>
      </c>
      <c r="F54">
        <v>1773051719</v>
      </c>
      <c r="G54">
        <v>1773051839</v>
      </c>
      <c r="H54">
        <v>119.389</v>
      </c>
      <c r="I54">
        <v>-52.406675554484501</v>
      </c>
      <c r="J54">
        <v>52.406675554484501</v>
      </c>
      <c r="K54">
        <v>56.238990317209797</v>
      </c>
      <c r="L54">
        <v>102.985426902771</v>
      </c>
      <c r="M54">
        <v>102.985426902771</v>
      </c>
      <c r="N54" s="2">
        <v>5.8083707225371896E-6</v>
      </c>
      <c r="O54" s="3">
        <v>46090.433738460648</v>
      </c>
      <c r="P54" s="3">
        <v>46090.434513715278</v>
      </c>
      <c r="Q54" s="1" t="s">
        <v>72</v>
      </c>
      <c r="R54" s="1" t="s">
        <v>74</v>
      </c>
      <c r="T54">
        <f t="shared" si="0"/>
        <v>52.406675554484593</v>
      </c>
    </row>
    <row r="55" spans="1:20" x14ac:dyDescent="0.3">
      <c r="A55">
        <v>54</v>
      </c>
      <c r="B55">
        <v>4</v>
      </c>
      <c r="C55">
        <v>1773051918.76019</v>
      </c>
      <c r="D55">
        <v>1773051985.7186699</v>
      </c>
      <c r="E55">
        <v>66.958479866788593</v>
      </c>
      <c r="F55">
        <v>1773051720</v>
      </c>
      <c r="G55">
        <v>1773051864</v>
      </c>
      <c r="H55">
        <v>144.33799999999999</v>
      </c>
      <c r="I55">
        <v>-77.379520133211301</v>
      </c>
      <c r="J55">
        <v>77.379520133211301</v>
      </c>
      <c r="K55">
        <v>73.242602226023905</v>
      </c>
      <c r="L55">
        <v>121.718672275543</v>
      </c>
      <c r="M55">
        <v>121.718672275543</v>
      </c>
      <c r="N55" s="2">
        <v>6.8649242906521001E-6</v>
      </c>
      <c r="O55" s="3">
        <v>46090.43424490741</v>
      </c>
      <c r="P55" s="3">
        <v>46090.435019895835</v>
      </c>
      <c r="Q55" s="1" t="s">
        <v>70</v>
      </c>
      <c r="R55" s="1" t="s">
        <v>75</v>
      </c>
      <c r="T55">
        <f t="shared" si="0"/>
        <v>77.3795201332114</v>
      </c>
    </row>
    <row r="56" spans="1:20" x14ac:dyDescent="0.3">
      <c r="A56">
        <v>55</v>
      </c>
      <c r="B56">
        <v>2</v>
      </c>
      <c r="C56">
        <v>1773051919.4409699</v>
      </c>
      <c r="D56">
        <v>1773051986.3176999</v>
      </c>
      <c r="E56">
        <v>66.876728462586499</v>
      </c>
      <c r="F56">
        <v>1773051751</v>
      </c>
      <c r="G56">
        <v>1773051870</v>
      </c>
      <c r="H56">
        <v>118.134</v>
      </c>
      <c r="I56">
        <v>-51.257271537413502</v>
      </c>
      <c r="J56">
        <v>51.257271537413502</v>
      </c>
      <c r="K56">
        <v>55.4100532043242</v>
      </c>
      <c r="L56">
        <v>116.317705392837</v>
      </c>
      <c r="M56">
        <v>116.317705392837</v>
      </c>
      <c r="N56" s="2">
        <v>6.5603101378774901E-6</v>
      </c>
      <c r="O56" s="3">
        <v>46090.434252789353</v>
      </c>
      <c r="P56" s="3">
        <v>46090.435026828702</v>
      </c>
      <c r="Q56" s="1" t="s">
        <v>76</v>
      </c>
      <c r="R56" s="1" t="s">
        <v>77</v>
      </c>
      <c r="T56">
        <f t="shared" si="0"/>
        <v>51.257271537413502</v>
      </c>
    </row>
    <row r="57" spans="1:20" x14ac:dyDescent="0.3">
      <c r="A57">
        <v>56</v>
      </c>
      <c r="B57">
        <v>1</v>
      </c>
      <c r="C57">
        <v>1773051919.60375</v>
      </c>
      <c r="D57">
        <v>1773051986.55179</v>
      </c>
      <c r="E57">
        <v>66.948046594368094</v>
      </c>
      <c r="F57">
        <v>1773051837</v>
      </c>
      <c r="G57">
        <v>1773051922</v>
      </c>
      <c r="H57">
        <v>84.88</v>
      </c>
      <c r="I57">
        <v>-17.931953405631798</v>
      </c>
      <c r="J57">
        <v>17.931953405631798</v>
      </c>
      <c r="K57">
        <v>23.621397769201</v>
      </c>
      <c r="L57">
        <v>64.551799058914099</v>
      </c>
      <c r="M57">
        <v>64.551799058914099</v>
      </c>
      <c r="N57" s="2">
        <v>3.6407167259391801E-6</v>
      </c>
      <c r="O57" s="3">
        <v>46090.434254675929</v>
      </c>
      <c r="P57" s="3">
        <v>46090.435029537039</v>
      </c>
      <c r="Q57" s="1" t="s">
        <v>73</v>
      </c>
      <c r="R57" s="1" t="s">
        <v>78</v>
      </c>
      <c r="T57">
        <f t="shared" si="0"/>
        <v>17.931953405631901</v>
      </c>
    </row>
    <row r="58" spans="1:20" x14ac:dyDescent="0.3">
      <c r="A58">
        <v>57</v>
      </c>
      <c r="B58">
        <v>3</v>
      </c>
      <c r="C58">
        <v>1773051941.98542</v>
      </c>
      <c r="D58">
        <v>1773052009.43139</v>
      </c>
      <c r="E58">
        <v>67.445966542895505</v>
      </c>
      <c r="F58">
        <v>1773051838</v>
      </c>
      <c r="G58">
        <v>1773051877</v>
      </c>
      <c r="H58">
        <v>39.204000000000001</v>
      </c>
      <c r="I58">
        <v>28.241966542895501</v>
      </c>
      <c r="J58">
        <v>28.241966542895501</v>
      </c>
      <c r="K58">
        <v>52.961979189250499</v>
      </c>
      <c r="L58">
        <v>132.43139338493299</v>
      </c>
      <c r="M58">
        <v>132.43139338493299</v>
      </c>
      <c r="N58" s="2">
        <v>7.46912090712634E-6</v>
      </c>
      <c r="O58" s="3">
        <v>46090.434513715278</v>
      </c>
      <c r="P58" s="3">
        <v>46090.435294340277</v>
      </c>
      <c r="Q58" s="1" t="s">
        <v>79</v>
      </c>
      <c r="R58" s="1" t="s">
        <v>80</v>
      </c>
      <c r="T58">
        <f t="shared" si="0"/>
        <v>-28.241966542895504</v>
      </c>
    </row>
    <row r="59" spans="1:20" x14ac:dyDescent="0.3">
      <c r="A59">
        <v>58</v>
      </c>
      <c r="B59">
        <v>4</v>
      </c>
      <c r="C59">
        <v>1773051985.7186699</v>
      </c>
      <c r="D59">
        <v>1773052052.7165999</v>
      </c>
      <c r="E59">
        <v>66.997934225950701</v>
      </c>
      <c r="F59">
        <v>1773051863</v>
      </c>
      <c r="G59">
        <v>1773051967</v>
      </c>
      <c r="H59">
        <v>103.16200000000001</v>
      </c>
      <c r="I59">
        <v>-36.164065774049199</v>
      </c>
      <c r="J59">
        <v>36.164065774049199</v>
      </c>
      <c r="K59">
        <v>42.505970560646702</v>
      </c>
      <c r="L59">
        <v>85.716606616973806</v>
      </c>
      <c r="M59">
        <v>85.716606616973806</v>
      </c>
      <c r="N59" s="2">
        <v>4.8344101662208999E-6</v>
      </c>
      <c r="O59" s="3">
        <v>46090.435019895835</v>
      </c>
      <c r="P59" s="3">
        <v>46090.435795335645</v>
      </c>
      <c r="Q59" s="1" t="s">
        <v>81</v>
      </c>
      <c r="R59" s="1" t="s">
        <v>82</v>
      </c>
      <c r="T59">
        <f t="shared" si="0"/>
        <v>36.164065774049305</v>
      </c>
    </row>
    <row r="60" spans="1:20" x14ac:dyDescent="0.3">
      <c r="A60">
        <v>59</v>
      </c>
      <c r="B60">
        <v>2</v>
      </c>
      <c r="C60">
        <v>1773051986.3176999</v>
      </c>
      <c r="D60">
        <v>1773052053.6366401</v>
      </c>
      <c r="E60">
        <v>67.318936778367799</v>
      </c>
      <c r="F60">
        <v>1773051870</v>
      </c>
      <c r="G60">
        <v>1773051899</v>
      </c>
      <c r="H60">
        <v>29.131</v>
      </c>
      <c r="I60">
        <v>38.187936778367799</v>
      </c>
      <c r="J60">
        <v>38.187936778367799</v>
      </c>
      <c r="K60">
        <v>79.187064406521799</v>
      </c>
      <c r="L60">
        <v>154.63664221763599</v>
      </c>
      <c r="M60">
        <v>154.63664221763599</v>
      </c>
      <c r="N60" s="2">
        <v>8.7214951554174701E-6</v>
      </c>
      <c r="O60" s="3">
        <v>46090.435026828702</v>
      </c>
      <c r="P60" s="3">
        <v>46090.435805983798</v>
      </c>
      <c r="Q60" s="1" t="s">
        <v>77</v>
      </c>
      <c r="R60" s="1" t="s">
        <v>83</v>
      </c>
      <c r="T60">
        <f t="shared" si="0"/>
        <v>-38.187936778367799</v>
      </c>
    </row>
    <row r="61" spans="1:20" x14ac:dyDescent="0.3">
      <c r="A61">
        <v>60</v>
      </c>
      <c r="B61">
        <v>1</v>
      </c>
      <c r="C61">
        <v>1773051986.55179</v>
      </c>
      <c r="D61">
        <v>1773052053.43748</v>
      </c>
      <c r="E61">
        <v>66.885689496527206</v>
      </c>
      <c r="F61">
        <v>1773051877</v>
      </c>
      <c r="G61">
        <v>1773051939</v>
      </c>
      <c r="H61">
        <v>61.146999999999998</v>
      </c>
      <c r="I61">
        <v>5.7386894965272504</v>
      </c>
      <c r="J61">
        <v>5.7386894965272504</v>
      </c>
      <c r="K61">
        <v>8.9644129465591007</v>
      </c>
      <c r="L61">
        <v>114.437488555908</v>
      </c>
      <c r="M61">
        <v>114.437488555908</v>
      </c>
      <c r="N61" s="2">
        <v>6.4542657970527902E-6</v>
      </c>
      <c r="O61" s="3">
        <v>46090.435029537039</v>
      </c>
      <c r="P61" s="3">
        <v>46090.435803668981</v>
      </c>
      <c r="Q61" s="1" t="s">
        <v>80</v>
      </c>
      <c r="R61" s="1" t="s">
        <v>84</v>
      </c>
      <c r="T61">
        <f t="shared" si="0"/>
        <v>-5.7386894965272077</v>
      </c>
    </row>
    <row r="62" spans="1:20" x14ac:dyDescent="0.3">
      <c r="A62">
        <v>61</v>
      </c>
      <c r="B62">
        <v>3</v>
      </c>
      <c r="C62">
        <v>1773052009.43139</v>
      </c>
      <c r="D62">
        <v>1773052076.3704</v>
      </c>
      <c r="E62">
        <v>66.939009938306199</v>
      </c>
      <c r="F62">
        <v>1773051899</v>
      </c>
      <c r="G62">
        <v>1773052014</v>
      </c>
      <c r="H62">
        <v>114.723</v>
      </c>
      <c r="I62">
        <v>-47.7839900616937</v>
      </c>
      <c r="J62">
        <v>47.7839900616937</v>
      </c>
      <c r="K62">
        <v>52.607576100167002</v>
      </c>
      <c r="L62">
        <v>62.370403289794901</v>
      </c>
      <c r="M62">
        <v>62.370403289794901</v>
      </c>
      <c r="N62" s="2">
        <v>3.5176859844111398E-6</v>
      </c>
      <c r="O62" s="3">
        <v>46090.435294340277</v>
      </c>
      <c r="P62" s="3">
        <v>46090.436069097224</v>
      </c>
      <c r="Q62" s="1" t="s">
        <v>83</v>
      </c>
      <c r="R62" s="1" t="s">
        <v>85</v>
      </c>
      <c r="T62">
        <f t="shared" si="0"/>
        <v>47.7839900616938</v>
      </c>
    </row>
    <row r="63" spans="1:20" x14ac:dyDescent="0.3">
      <c r="A63">
        <v>62</v>
      </c>
      <c r="B63">
        <v>4</v>
      </c>
      <c r="C63">
        <v>1773052052.7165999</v>
      </c>
      <c r="D63">
        <v>1773052119.6147399</v>
      </c>
      <c r="E63">
        <v>66.898139425264404</v>
      </c>
      <c r="F63">
        <v>1773051922</v>
      </c>
      <c r="G63">
        <v>1773052024</v>
      </c>
      <c r="H63">
        <v>101.61799999999999</v>
      </c>
      <c r="I63">
        <v>-34.719860574735499</v>
      </c>
      <c r="J63">
        <v>34.719860574735499</v>
      </c>
      <c r="K63">
        <v>41.2065701162511</v>
      </c>
      <c r="L63">
        <v>95.61474609375</v>
      </c>
      <c r="M63">
        <v>95.61474609375</v>
      </c>
      <c r="N63" s="2">
        <v>5.3926642998298596E-6</v>
      </c>
      <c r="O63" s="3">
        <v>46090.435795335645</v>
      </c>
      <c r="P63" s="3">
        <v>46090.436569618054</v>
      </c>
      <c r="Q63" s="1" t="s">
        <v>78</v>
      </c>
      <c r="R63" s="1" t="s">
        <v>86</v>
      </c>
      <c r="T63">
        <f t="shared" si="0"/>
        <v>34.719860574735591</v>
      </c>
    </row>
    <row r="64" spans="1:20" x14ac:dyDescent="0.3">
      <c r="A64">
        <v>63</v>
      </c>
      <c r="B64">
        <v>1</v>
      </c>
      <c r="C64">
        <v>1773052053.43748</v>
      </c>
      <c r="D64">
        <v>1773052120.3191099</v>
      </c>
      <c r="E64">
        <v>66.881623925323098</v>
      </c>
      <c r="F64">
        <v>1773051938</v>
      </c>
      <c r="G64">
        <v>1773052052</v>
      </c>
      <c r="H64">
        <v>113.67</v>
      </c>
      <c r="I64">
        <v>-46.788376074676798</v>
      </c>
      <c r="J64">
        <v>46.788376074676798</v>
      </c>
      <c r="K64">
        <v>51.828252837015398</v>
      </c>
      <c r="L64">
        <v>68.319112539291297</v>
      </c>
      <c r="M64">
        <v>68.319112539291297</v>
      </c>
      <c r="N64" s="2">
        <v>3.8531926429342003E-6</v>
      </c>
      <c r="O64" s="3">
        <v>46090.435803668981</v>
      </c>
      <c r="P64" s="3">
        <v>46090.436577766202</v>
      </c>
      <c r="Q64" s="1" t="s">
        <v>87</v>
      </c>
      <c r="R64" s="1" t="s">
        <v>88</v>
      </c>
      <c r="T64">
        <f t="shared" si="0"/>
        <v>46.788376074676904</v>
      </c>
    </row>
    <row r="65" spans="1:20" x14ac:dyDescent="0.3">
      <c r="A65">
        <v>64</v>
      </c>
      <c r="B65">
        <v>2</v>
      </c>
      <c r="C65">
        <v>1773052053.6366401</v>
      </c>
      <c r="D65">
        <v>1773052120.84975</v>
      </c>
      <c r="E65">
        <v>67.213108600056898</v>
      </c>
      <c r="F65">
        <v>1773051967</v>
      </c>
      <c r="G65">
        <v>1773052042</v>
      </c>
      <c r="H65">
        <v>75.174000000000007</v>
      </c>
      <c r="I65">
        <v>-7.9608913999431001</v>
      </c>
      <c r="J65">
        <v>7.9608913999431001</v>
      </c>
      <c r="K65">
        <v>11.1820395514933</v>
      </c>
      <c r="L65">
        <v>78.849750757217393</v>
      </c>
      <c r="M65">
        <v>78.849750757217393</v>
      </c>
      <c r="N65" s="2">
        <v>4.4471198327040302E-6</v>
      </c>
      <c r="O65" s="3">
        <v>46090.435805983798</v>
      </c>
      <c r="P65" s="3">
        <v>46090.436583912036</v>
      </c>
      <c r="Q65" s="1" t="s">
        <v>82</v>
      </c>
      <c r="R65" s="1" t="s">
        <v>89</v>
      </c>
      <c r="T65">
        <f t="shared" si="0"/>
        <v>7.9608913999431081</v>
      </c>
    </row>
    <row r="66" spans="1:20" x14ac:dyDescent="0.3">
      <c r="A66">
        <v>65</v>
      </c>
      <c r="B66">
        <v>3</v>
      </c>
      <c r="C66">
        <v>1773052076.3704</v>
      </c>
      <c r="D66">
        <v>1773052143.2918899</v>
      </c>
      <c r="E66">
        <v>66.921487808903905</v>
      </c>
      <c r="F66">
        <v>1773052014</v>
      </c>
      <c r="G66">
        <v>1773052136</v>
      </c>
      <c r="H66">
        <v>121.727</v>
      </c>
      <c r="I66">
        <v>-54.805512191096</v>
      </c>
      <c r="J66">
        <v>54.805512191096</v>
      </c>
      <c r="K66">
        <v>58.103314611896103</v>
      </c>
      <c r="L66">
        <v>7.29189109802246</v>
      </c>
      <c r="M66">
        <v>7.29189109802246</v>
      </c>
      <c r="N66" s="2">
        <v>4.1126207938129502E-7</v>
      </c>
      <c r="O66" s="3">
        <v>46090.436069097224</v>
      </c>
      <c r="P66" s="3">
        <v>46090.436843657408</v>
      </c>
      <c r="Q66" s="1" t="s">
        <v>85</v>
      </c>
      <c r="R66" s="1" t="s">
        <v>90</v>
      </c>
      <c r="T66">
        <f t="shared" si="0"/>
        <v>54.805512191096099</v>
      </c>
    </row>
    <row r="67" spans="1:20" x14ac:dyDescent="0.3">
      <c r="A67">
        <v>66</v>
      </c>
      <c r="B67">
        <v>4</v>
      </c>
      <c r="C67">
        <v>1773052119.6147399</v>
      </c>
      <c r="D67">
        <v>1773052186.92699</v>
      </c>
      <c r="E67">
        <v>67.312248663177996</v>
      </c>
      <c r="F67">
        <v>1773052024</v>
      </c>
      <c r="G67">
        <v>1773052080</v>
      </c>
      <c r="H67">
        <v>56.145000000000003</v>
      </c>
      <c r="I67">
        <v>11.167248663178</v>
      </c>
      <c r="J67">
        <v>11.167248663178</v>
      </c>
      <c r="K67">
        <v>18.090875641729301</v>
      </c>
      <c r="L67">
        <v>106.926994800567</v>
      </c>
      <c r="M67">
        <v>106.926994800567</v>
      </c>
      <c r="N67" s="2">
        <v>6.0306740440674602E-6</v>
      </c>
      <c r="O67" s="3">
        <v>46090.436569618054</v>
      </c>
      <c r="P67" s="3">
        <v>46090.437348692132</v>
      </c>
      <c r="Q67" s="1" t="s">
        <v>86</v>
      </c>
      <c r="R67" s="1" t="s">
        <v>91</v>
      </c>
      <c r="T67">
        <f t="shared" ref="T67:T119" si="1">H67-E67</f>
        <v>-11.167248663177993</v>
      </c>
    </row>
    <row r="68" spans="1:20" x14ac:dyDescent="0.3">
      <c r="A68">
        <v>67</v>
      </c>
      <c r="B68">
        <v>1</v>
      </c>
      <c r="C68">
        <v>1773052120.3191099</v>
      </c>
      <c r="D68">
        <v>1773052187.5522599</v>
      </c>
      <c r="E68">
        <v>67.233153304929004</v>
      </c>
      <c r="F68">
        <v>1773052042</v>
      </c>
      <c r="G68">
        <v>1773052125</v>
      </c>
      <c r="H68">
        <v>82.858999999999995</v>
      </c>
      <c r="I68">
        <v>-15.6258466950709</v>
      </c>
      <c r="J68">
        <v>15.6258466950709</v>
      </c>
      <c r="K68">
        <v>20.8216703551787</v>
      </c>
      <c r="L68">
        <v>62.552265882492001</v>
      </c>
      <c r="M68">
        <v>62.552265882492001</v>
      </c>
      <c r="N68" s="2">
        <v>3.52794279971255E-6</v>
      </c>
      <c r="O68" s="3">
        <v>46090.436577766202</v>
      </c>
      <c r="P68" s="3">
        <v>46090.437355925926</v>
      </c>
      <c r="Q68" s="1" t="s">
        <v>89</v>
      </c>
      <c r="R68" s="1" t="s">
        <v>92</v>
      </c>
      <c r="T68">
        <f t="shared" si="1"/>
        <v>15.62584669507099</v>
      </c>
    </row>
    <row r="69" spans="1:20" x14ac:dyDescent="0.3">
      <c r="A69">
        <v>68</v>
      </c>
      <c r="B69">
        <v>2</v>
      </c>
      <c r="C69">
        <v>1773052120.84975</v>
      </c>
      <c r="D69">
        <v>1773052188.13327</v>
      </c>
      <c r="E69">
        <v>67.283523992590901</v>
      </c>
      <c r="F69">
        <v>1773052051</v>
      </c>
      <c r="G69">
        <v>1773052116</v>
      </c>
      <c r="H69">
        <v>64.257999999999996</v>
      </c>
      <c r="I69">
        <v>3.0255239925909301</v>
      </c>
      <c r="J69">
        <v>3.0255239925909301</v>
      </c>
      <c r="K69">
        <v>4.6001048197698298</v>
      </c>
      <c r="L69">
        <v>72.133274793624807</v>
      </c>
      <c r="M69">
        <v>72.133274793624807</v>
      </c>
      <c r="N69" s="2">
        <v>4.0683109467224397E-6</v>
      </c>
      <c r="O69" s="3">
        <v>46090.436583912036</v>
      </c>
      <c r="P69" s="3">
        <v>46090.43736265046</v>
      </c>
      <c r="Q69" s="1" t="s">
        <v>93</v>
      </c>
      <c r="R69" s="1" t="s">
        <v>94</v>
      </c>
      <c r="T69">
        <f t="shared" si="1"/>
        <v>-3.0255239925909052</v>
      </c>
    </row>
    <row r="70" spans="1:20" x14ac:dyDescent="0.3">
      <c r="A70">
        <v>69</v>
      </c>
      <c r="B70">
        <v>3</v>
      </c>
      <c r="C70">
        <v>1773052143.2918899</v>
      </c>
      <c r="D70">
        <v>1773052210.5268199</v>
      </c>
      <c r="E70">
        <v>67.234937528474802</v>
      </c>
      <c r="F70">
        <v>1773052080</v>
      </c>
      <c r="G70">
        <v>1773052158</v>
      </c>
      <c r="H70">
        <v>77.992000000000004</v>
      </c>
      <c r="I70">
        <v>-10.757062471525099</v>
      </c>
      <c r="J70">
        <v>10.757062471525099</v>
      </c>
      <c r="K70">
        <v>14.814142134500299</v>
      </c>
      <c r="L70">
        <v>52.526828527450498</v>
      </c>
      <c r="M70">
        <v>52.526828527450498</v>
      </c>
      <c r="N70" s="2">
        <v>2.9625088868589599E-6</v>
      </c>
      <c r="O70" s="3">
        <v>46090.436843657408</v>
      </c>
      <c r="P70" s="3">
        <v>46090.437621840276</v>
      </c>
      <c r="Q70" s="1" t="s">
        <v>91</v>
      </c>
      <c r="R70" s="1" t="s">
        <v>95</v>
      </c>
      <c r="T70">
        <f t="shared" si="1"/>
        <v>10.757062471525202</v>
      </c>
    </row>
    <row r="71" spans="1:20" x14ac:dyDescent="0.3">
      <c r="A71">
        <v>70</v>
      </c>
      <c r="B71">
        <v>4</v>
      </c>
      <c r="C71">
        <v>1773052186.92699</v>
      </c>
      <c r="D71">
        <v>1773052254.17853</v>
      </c>
      <c r="E71">
        <v>67.251544710962307</v>
      </c>
      <c r="F71">
        <v>1773052115</v>
      </c>
      <c r="G71">
        <v>1773052169</v>
      </c>
      <c r="H71">
        <v>53.945999999999998</v>
      </c>
      <c r="I71">
        <v>13.3055447109623</v>
      </c>
      <c r="J71">
        <v>13.3055447109623</v>
      </c>
      <c r="K71">
        <v>21.956789211685901</v>
      </c>
      <c r="L71">
        <v>85.178539514541598</v>
      </c>
      <c r="M71">
        <v>85.178539514541598</v>
      </c>
      <c r="N71" s="2">
        <v>4.8040626755256099E-6</v>
      </c>
      <c r="O71" s="3">
        <v>46090.437348692132</v>
      </c>
      <c r="P71" s="3">
        <v>46090.438127071757</v>
      </c>
      <c r="Q71" s="1" t="s">
        <v>96</v>
      </c>
      <c r="R71" s="1" t="s">
        <v>97</v>
      </c>
      <c r="T71">
        <f t="shared" si="1"/>
        <v>-13.305544710962309</v>
      </c>
    </row>
    <row r="72" spans="1:20" x14ac:dyDescent="0.3">
      <c r="A72">
        <v>71</v>
      </c>
      <c r="B72">
        <v>1</v>
      </c>
      <c r="C72">
        <v>1773052187.5522599</v>
      </c>
      <c r="D72">
        <v>1773052254.8889799</v>
      </c>
      <c r="E72">
        <v>67.336720483631794</v>
      </c>
      <c r="F72">
        <v>1773052125</v>
      </c>
      <c r="G72">
        <v>1773052184</v>
      </c>
      <c r="H72">
        <v>58.57</v>
      </c>
      <c r="I72">
        <v>8.7667204836318007</v>
      </c>
      <c r="J72">
        <v>8.7667204836318007</v>
      </c>
      <c r="K72">
        <v>13.925738753193</v>
      </c>
      <c r="L72">
        <v>70.888986349105807</v>
      </c>
      <c r="M72">
        <v>70.888986349105807</v>
      </c>
      <c r="N72" s="2">
        <v>3.9981330257331999E-6</v>
      </c>
      <c r="O72" s="3">
        <v>46090.437355925926</v>
      </c>
      <c r="P72" s="3">
        <v>46090.438135289354</v>
      </c>
      <c r="Q72" s="1" t="s">
        <v>92</v>
      </c>
      <c r="R72" s="1" t="s">
        <v>98</v>
      </c>
      <c r="T72">
        <f t="shared" si="1"/>
        <v>-8.7667204836317936</v>
      </c>
    </row>
    <row r="73" spans="1:20" x14ac:dyDescent="0.3">
      <c r="A73">
        <v>72</v>
      </c>
      <c r="B73">
        <v>2</v>
      </c>
      <c r="C73">
        <v>1773052188.13327</v>
      </c>
      <c r="D73">
        <v>1773052255.3162301</v>
      </c>
      <c r="E73">
        <v>67.182961271025505</v>
      </c>
      <c r="F73">
        <v>1773052136</v>
      </c>
      <c r="G73">
        <v>1773052200</v>
      </c>
      <c r="H73">
        <v>64.150000000000006</v>
      </c>
      <c r="I73">
        <v>3.03296127102552</v>
      </c>
      <c r="J73">
        <v>3.03296127102552</v>
      </c>
      <c r="K73">
        <v>4.6187358324564798</v>
      </c>
      <c r="L73">
        <v>55.3162360191345</v>
      </c>
      <c r="M73">
        <v>55.3162360191345</v>
      </c>
      <c r="N73" s="2">
        <v>3.11983116775963E-6</v>
      </c>
      <c r="O73" s="3">
        <v>46090.43736265046</v>
      </c>
      <c r="P73" s="3">
        <v>46090.438140231483</v>
      </c>
      <c r="Q73" s="1" t="s">
        <v>90</v>
      </c>
      <c r="R73" s="1" t="s">
        <v>99</v>
      </c>
      <c r="T73">
        <f t="shared" si="1"/>
        <v>-3.0329612710254992</v>
      </c>
    </row>
    <row r="74" spans="1:20" x14ac:dyDescent="0.3">
      <c r="A74">
        <v>73</v>
      </c>
      <c r="B74">
        <v>3</v>
      </c>
      <c r="C74">
        <v>1773052210.5268199</v>
      </c>
      <c r="D74">
        <v>1773052277.4774401</v>
      </c>
      <c r="E74">
        <v>66.950618550947198</v>
      </c>
      <c r="F74">
        <v>1773052158</v>
      </c>
      <c r="G74">
        <v>1773052277</v>
      </c>
      <c r="H74">
        <v>118.616</v>
      </c>
      <c r="I74">
        <v>-51.665381449052802</v>
      </c>
      <c r="J74">
        <v>51.665381449052802</v>
      </c>
      <c r="K74">
        <v>55.683917562864998</v>
      </c>
      <c r="L74">
        <v>0.47744703292846602</v>
      </c>
      <c r="M74">
        <v>0.47744703292846602</v>
      </c>
      <c r="N74" s="2">
        <v>2.69279726862889E-8</v>
      </c>
      <c r="O74" s="3">
        <v>46090.437621840276</v>
      </c>
      <c r="P74" s="3">
        <v>46090.438396724538</v>
      </c>
      <c r="Q74" s="1" t="s">
        <v>95</v>
      </c>
      <c r="R74" s="1" t="s">
        <v>100</v>
      </c>
      <c r="T74">
        <f t="shared" si="1"/>
        <v>51.665381449052802</v>
      </c>
    </row>
    <row r="75" spans="1:20" x14ac:dyDescent="0.3">
      <c r="A75">
        <v>74</v>
      </c>
      <c r="B75">
        <v>4</v>
      </c>
      <c r="C75">
        <v>1773052254.17853</v>
      </c>
      <c r="D75">
        <v>1773052321.4138601</v>
      </c>
      <c r="E75">
        <v>67.235324280864006</v>
      </c>
      <c r="F75">
        <v>1773052169</v>
      </c>
      <c r="G75">
        <v>1773052204</v>
      </c>
      <c r="H75">
        <v>34.582000000000001</v>
      </c>
      <c r="I75">
        <v>32.653324280863998</v>
      </c>
      <c r="J75">
        <v>32.653324280863998</v>
      </c>
      <c r="K75">
        <v>64.140998619821403</v>
      </c>
      <c r="L75">
        <v>117.413863897323</v>
      </c>
      <c r="M75">
        <v>117.413863897323</v>
      </c>
      <c r="N75" s="2">
        <v>6.62213214843802E-6</v>
      </c>
      <c r="O75" s="3">
        <v>46090.438127071757</v>
      </c>
      <c r="P75" s="3">
        <v>46090.438905254632</v>
      </c>
      <c r="Q75" s="1" t="s">
        <v>97</v>
      </c>
      <c r="R75" s="1" t="s">
        <v>101</v>
      </c>
      <c r="T75">
        <f t="shared" si="1"/>
        <v>-32.653324280864005</v>
      </c>
    </row>
    <row r="76" spans="1:20" x14ac:dyDescent="0.3">
      <c r="A76">
        <v>75</v>
      </c>
      <c r="B76">
        <v>1</v>
      </c>
      <c r="C76">
        <v>1773052254.8889799</v>
      </c>
      <c r="D76">
        <v>1773052322.1498899</v>
      </c>
      <c r="E76">
        <v>67.260906882837702</v>
      </c>
      <c r="F76">
        <v>1773052184</v>
      </c>
      <c r="G76">
        <v>1773052240</v>
      </c>
      <c r="H76">
        <v>55.661999999999999</v>
      </c>
      <c r="I76">
        <v>11.598906882837699</v>
      </c>
      <c r="J76">
        <v>11.598906882837699</v>
      </c>
      <c r="K76">
        <v>18.871839556955901</v>
      </c>
      <c r="L76">
        <v>82.149893283843994</v>
      </c>
      <c r="M76">
        <v>82.149893283843994</v>
      </c>
      <c r="N76" s="2">
        <v>4.6332470937652803E-6</v>
      </c>
      <c r="O76" s="3">
        <v>46090.438135289354</v>
      </c>
      <c r="P76" s="3">
        <v>46090.438913773149</v>
      </c>
      <c r="Q76" s="1" t="s">
        <v>98</v>
      </c>
      <c r="R76" s="1" t="s">
        <v>102</v>
      </c>
      <c r="T76">
        <f t="shared" si="1"/>
        <v>-11.598906882837703</v>
      </c>
    </row>
    <row r="77" spans="1:20" x14ac:dyDescent="0.3">
      <c r="A77">
        <v>76</v>
      </c>
      <c r="B77">
        <v>2</v>
      </c>
      <c r="C77">
        <v>1773052255.3162301</v>
      </c>
      <c r="D77">
        <v>1773052322.5769</v>
      </c>
      <c r="E77">
        <v>67.2606677929151</v>
      </c>
      <c r="F77">
        <v>1773052200</v>
      </c>
      <c r="G77">
        <v>1773052282</v>
      </c>
      <c r="H77">
        <v>82.242000000000004</v>
      </c>
      <c r="I77">
        <v>-14.981332207084799</v>
      </c>
      <c r="J77">
        <v>14.981332207084799</v>
      </c>
      <c r="K77">
        <v>20.0415583591275</v>
      </c>
      <c r="L77">
        <v>40.576903820037799</v>
      </c>
      <c r="M77">
        <v>40.576903820037799</v>
      </c>
      <c r="N77" s="2">
        <v>2.2885339461033201E-6</v>
      </c>
      <c r="O77" s="3">
        <v>46090.438140231483</v>
      </c>
      <c r="P77" s="3">
        <v>46090.438918715277</v>
      </c>
      <c r="Q77" s="1" t="s">
        <v>99</v>
      </c>
      <c r="R77" s="1" t="s">
        <v>103</v>
      </c>
      <c r="T77">
        <f t="shared" si="1"/>
        <v>14.981332207084904</v>
      </c>
    </row>
    <row r="78" spans="1:20" x14ac:dyDescent="0.3">
      <c r="A78">
        <v>77</v>
      </c>
      <c r="B78">
        <v>3</v>
      </c>
      <c r="C78">
        <v>1773052277.4774401</v>
      </c>
      <c r="D78">
        <v>1773052344.3970201</v>
      </c>
      <c r="E78">
        <v>66.919574347793898</v>
      </c>
      <c r="F78">
        <v>1773052204</v>
      </c>
      <c r="G78">
        <v>1773052325</v>
      </c>
      <c r="H78">
        <v>121.71</v>
      </c>
      <c r="I78">
        <v>-54.790425652205997</v>
      </c>
      <c r="J78">
        <v>54.790425652205997</v>
      </c>
      <c r="K78">
        <v>58.093144557686102</v>
      </c>
      <c r="L78">
        <v>19.397021293640101</v>
      </c>
      <c r="M78">
        <v>19.397021293640101</v>
      </c>
      <c r="N78" s="2">
        <v>1.09399034162961E-6</v>
      </c>
      <c r="O78" s="3">
        <v>46090.438396724538</v>
      </c>
      <c r="P78" s="3">
        <v>46090.439171261576</v>
      </c>
      <c r="Q78" s="1" t="s">
        <v>101</v>
      </c>
      <c r="R78" s="1" t="s">
        <v>104</v>
      </c>
      <c r="T78">
        <f t="shared" si="1"/>
        <v>54.790425652206096</v>
      </c>
    </row>
    <row r="79" spans="1:20" x14ac:dyDescent="0.3">
      <c r="A79">
        <v>78</v>
      </c>
      <c r="B79">
        <v>4</v>
      </c>
      <c r="C79">
        <v>1773052321.4138601</v>
      </c>
      <c r="D79">
        <v>1773052388.3714001</v>
      </c>
      <c r="E79">
        <v>66.9575408034394</v>
      </c>
      <c r="F79">
        <v>1773052239</v>
      </c>
      <c r="G79">
        <v>1773052290</v>
      </c>
      <c r="H79">
        <v>50.738</v>
      </c>
      <c r="I79">
        <v>16.219540803439401</v>
      </c>
      <c r="J79">
        <v>16.219540803439401</v>
      </c>
      <c r="K79">
        <v>27.561861210234401</v>
      </c>
      <c r="L79">
        <v>98.371404647827106</v>
      </c>
      <c r="M79">
        <v>98.371404647827106</v>
      </c>
      <c r="N79" s="2">
        <v>5.5481387928460898E-6</v>
      </c>
      <c r="O79" s="3">
        <v>46090.438905254632</v>
      </c>
      <c r="P79" s="3">
        <v>46090.439680219904</v>
      </c>
      <c r="Q79" s="1" t="s">
        <v>105</v>
      </c>
      <c r="R79" s="1" t="s">
        <v>106</v>
      </c>
      <c r="T79">
        <f t="shared" si="1"/>
        <v>-16.219540803439401</v>
      </c>
    </row>
    <row r="80" spans="1:20" x14ac:dyDescent="0.3">
      <c r="A80">
        <v>79</v>
      </c>
      <c r="B80">
        <v>1</v>
      </c>
      <c r="C80">
        <v>1773052322.1498899</v>
      </c>
      <c r="D80">
        <v>1773052389.1975701</v>
      </c>
      <c r="E80">
        <v>67.047686351597406</v>
      </c>
      <c r="F80">
        <v>1773052277</v>
      </c>
      <c r="G80">
        <v>1773052318</v>
      </c>
      <c r="H80">
        <v>40.99</v>
      </c>
      <c r="I80">
        <v>26.0576863515974</v>
      </c>
      <c r="J80">
        <v>26.0576863515974</v>
      </c>
      <c r="K80">
        <v>48.238142136430803</v>
      </c>
      <c r="L80">
        <v>71.197579622268606</v>
      </c>
      <c r="M80">
        <v>71.197579622268606</v>
      </c>
      <c r="N80" s="2">
        <v>4.0155373572448601E-6</v>
      </c>
      <c r="O80" s="3">
        <v>46090.438913773149</v>
      </c>
      <c r="P80" s="3">
        <v>46090.439689791667</v>
      </c>
      <c r="Q80" s="1" t="s">
        <v>100</v>
      </c>
      <c r="R80" s="1" t="s">
        <v>107</v>
      </c>
      <c r="T80">
        <f t="shared" si="1"/>
        <v>-26.057686351597404</v>
      </c>
    </row>
    <row r="81" spans="1:20" x14ac:dyDescent="0.3">
      <c r="A81">
        <v>80</v>
      </c>
      <c r="B81">
        <v>2</v>
      </c>
      <c r="C81">
        <v>1773052322.5769</v>
      </c>
      <c r="D81">
        <v>1773052389.6094899</v>
      </c>
      <c r="E81">
        <v>67.032593190930598</v>
      </c>
      <c r="F81">
        <v>1773052282</v>
      </c>
      <c r="G81">
        <v>1773052336</v>
      </c>
      <c r="H81">
        <v>54.497999999999998</v>
      </c>
      <c r="I81">
        <v>12.5345931909306</v>
      </c>
      <c r="J81">
        <v>12.5345931909306</v>
      </c>
      <c r="K81">
        <v>20.627881197351101</v>
      </c>
      <c r="L81">
        <v>53.6094970703125</v>
      </c>
      <c r="M81">
        <v>53.6094970703125</v>
      </c>
      <c r="N81" s="2">
        <v>3.0235710007745502E-6</v>
      </c>
      <c r="O81" s="3">
        <v>46090.438918715277</v>
      </c>
      <c r="P81" s="3">
        <v>46090.439694548608</v>
      </c>
      <c r="Q81" s="1" t="s">
        <v>103</v>
      </c>
      <c r="R81" s="1" t="s">
        <v>108</v>
      </c>
      <c r="T81">
        <f t="shared" si="1"/>
        <v>-12.5345931909306</v>
      </c>
    </row>
    <row r="82" spans="1:20" x14ac:dyDescent="0.3">
      <c r="A82">
        <v>81</v>
      </c>
      <c r="B82">
        <v>3</v>
      </c>
      <c r="C82">
        <v>1773052344.3970201</v>
      </c>
      <c r="D82">
        <v>1773052411.6619201</v>
      </c>
      <c r="E82">
        <v>67.264899908419096</v>
      </c>
      <c r="F82">
        <v>1773052290</v>
      </c>
      <c r="G82">
        <v>1773052362</v>
      </c>
      <c r="H82">
        <v>71.611000000000004</v>
      </c>
      <c r="I82">
        <v>-4.3461000915808503</v>
      </c>
      <c r="J82">
        <v>4.3461000915808503</v>
      </c>
      <c r="K82">
        <v>6.2589694748287599</v>
      </c>
      <c r="L82">
        <v>49.661921262740996</v>
      </c>
      <c r="M82">
        <v>49.661921262740996</v>
      </c>
      <c r="N82" s="2">
        <v>2.8009280285002498E-6</v>
      </c>
      <c r="O82" s="3">
        <v>46090.439171261576</v>
      </c>
      <c r="P82" s="3">
        <v>46090.439949791667</v>
      </c>
      <c r="Q82" s="1" t="s">
        <v>106</v>
      </c>
      <c r="R82" s="1" t="s">
        <v>109</v>
      </c>
      <c r="T82">
        <f t="shared" si="1"/>
        <v>4.346100091580908</v>
      </c>
    </row>
    <row r="83" spans="1:20" x14ac:dyDescent="0.3">
      <c r="A83">
        <v>82</v>
      </c>
      <c r="B83">
        <v>4</v>
      </c>
      <c r="C83">
        <v>1773052388.3714001</v>
      </c>
      <c r="D83">
        <v>1773052455.6038499</v>
      </c>
      <c r="E83">
        <v>67.232451681900599</v>
      </c>
      <c r="F83">
        <v>1773052318</v>
      </c>
      <c r="G83">
        <v>1773052375</v>
      </c>
      <c r="H83">
        <v>57.381999999999998</v>
      </c>
      <c r="I83">
        <v>9.8504516819006103</v>
      </c>
      <c r="J83">
        <v>9.8504516819006103</v>
      </c>
      <c r="K83">
        <v>15.809485254640499</v>
      </c>
      <c r="L83">
        <v>80.603856325149494</v>
      </c>
      <c r="M83">
        <v>80.603856325149494</v>
      </c>
      <c r="N83" s="2">
        <v>4.5460503947608099E-6</v>
      </c>
      <c r="O83" s="3">
        <v>46090.439680219904</v>
      </c>
      <c r="P83" s="3">
        <v>46090.440458379628</v>
      </c>
      <c r="Q83" s="1" t="s">
        <v>107</v>
      </c>
      <c r="R83" s="1" t="s">
        <v>110</v>
      </c>
      <c r="T83">
        <f t="shared" si="1"/>
        <v>-9.8504516819006014</v>
      </c>
    </row>
    <row r="84" spans="1:20" x14ac:dyDescent="0.3">
      <c r="A84">
        <v>83</v>
      </c>
      <c r="B84">
        <v>1</v>
      </c>
      <c r="C84">
        <v>1773052389.1975701</v>
      </c>
      <c r="D84">
        <v>1773052456.5039301</v>
      </c>
      <c r="E84">
        <v>67.306353563796904</v>
      </c>
      <c r="F84">
        <v>1773052325</v>
      </c>
      <c r="G84">
        <v>1773052382</v>
      </c>
      <c r="H84">
        <v>56.749000000000002</v>
      </c>
      <c r="I84">
        <v>10.5573535637969</v>
      </c>
      <c r="J84">
        <v>10.5573535637969</v>
      </c>
      <c r="K84">
        <v>17.020391721132199</v>
      </c>
      <c r="L84">
        <v>74.503933191299396</v>
      </c>
      <c r="M84">
        <v>74.503933191299396</v>
      </c>
      <c r="N84" s="2">
        <v>4.2020152581124401E-6</v>
      </c>
      <c r="O84" s="3">
        <v>46090.439689791667</v>
      </c>
      <c r="P84" s="3">
        <v>46090.440468796296</v>
      </c>
      <c r="Q84" s="1" t="s">
        <v>104</v>
      </c>
      <c r="R84" s="1" t="s">
        <v>111</v>
      </c>
      <c r="T84">
        <f t="shared" si="1"/>
        <v>-10.557353563796902</v>
      </c>
    </row>
    <row r="85" spans="1:20" x14ac:dyDescent="0.3">
      <c r="A85">
        <v>84</v>
      </c>
      <c r="B85">
        <v>2</v>
      </c>
      <c r="C85">
        <v>1773052389.6094899</v>
      </c>
      <c r="D85">
        <v>1773052456.86887</v>
      </c>
      <c r="E85">
        <v>67.259379703298805</v>
      </c>
      <c r="F85">
        <v>1773052336</v>
      </c>
      <c r="G85">
        <v>1773052393</v>
      </c>
      <c r="H85">
        <v>56.865000000000002</v>
      </c>
      <c r="I85">
        <v>10.394379703298799</v>
      </c>
      <c r="J85">
        <v>10.394379703298799</v>
      </c>
      <c r="K85">
        <v>16.7483289393188</v>
      </c>
      <c r="L85">
        <v>63.868876695632899</v>
      </c>
      <c r="M85">
        <v>63.868876695632899</v>
      </c>
      <c r="N85" s="2">
        <v>3.6021989985995201E-6</v>
      </c>
      <c r="O85" s="3">
        <v>46090.439694548608</v>
      </c>
      <c r="P85" s="3">
        <v>46090.440473020833</v>
      </c>
      <c r="Q85" s="1" t="s">
        <v>108</v>
      </c>
      <c r="R85" s="1" t="s">
        <v>112</v>
      </c>
      <c r="T85">
        <f t="shared" si="1"/>
        <v>-10.394379703298803</v>
      </c>
    </row>
    <row r="86" spans="1:20" x14ac:dyDescent="0.3">
      <c r="A86">
        <v>85</v>
      </c>
      <c r="B86">
        <v>3</v>
      </c>
      <c r="C86">
        <v>1773052411.6619201</v>
      </c>
      <c r="D86">
        <v>1773052478.65892</v>
      </c>
      <c r="E86">
        <v>66.997002235294502</v>
      </c>
      <c r="F86">
        <v>1773052361</v>
      </c>
      <c r="G86">
        <v>1773052398</v>
      </c>
      <c r="H86">
        <v>36.167000000000002</v>
      </c>
      <c r="I86">
        <v>30.830002235294501</v>
      </c>
      <c r="J86">
        <v>30.830002235294501</v>
      </c>
      <c r="K86">
        <v>59.768914674283401</v>
      </c>
      <c r="L86">
        <v>80.658923387527395</v>
      </c>
      <c r="M86">
        <v>80.658923387527395</v>
      </c>
      <c r="N86" s="2">
        <v>4.5491561131447901E-6</v>
      </c>
      <c r="O86" s="3">
        <v>46090.439949791667</v>
      </c>
      <c r="P86" s="3">
        <v>46090.440725219909</v>
      </c>
      <c r="Q86" s="1" t="s">
        <v>113</v>
      </c>
      <c r="R86" s="1" t="s">
        <v>114</v>
      </c>
      <c r="T86">
        <f t="shared" si="1"/>
        <v>-30.830002235294501</v>
      </c>
    </row>
    <row r="87" spans="1:20" x14ac:dyDescent="0.3">
      <c r="A87">
        <v>86</v>
      </c>
      <c r="B87">
        <v>4</v>
      </c>
      <c r="C87">
        <v>1773052455.6038499</v>
      </c>
      <c r="D87">
        <v>1773052522.5569201</v>
      </c>
      <c r="E87">
        <v>66.953068515554094</v>
      </c>
      <c r="F87">
        <v>1773052375</v>
      </c>
      <c r="G87">
        <v>1773052491</v>
      </c>
      <c r="H87">
        <v>115.643</v>
      </c>
      <c r="I87">
        <v>-48.6899314844458</v>
      </c>
      <c r="J87">
        <v>48.6899314844458</v>
      </c>
      <c r="K87">
        <v>53.330755563664503</v>
      </c>
      <c r="L87">
        <v>31.5569248199462</v>
      </c>
      <c r="M87">
        <v>31.5569248199462</v>
      </c>
      <c r="N87" s="2">
        <v>1.7798076875502899E-6</v>
      </c>
      <c r="O87" s="3">
        <v>46090.440458379628</v>
      </c>
      <c r="P87" s="3">
        <v>46090.44123329861</v>
      </c>
      <c r="Q87" s="1" t="s">
        <v>110</v>
      </c>
      <c r="R87" s="1" t="s">
        <v>115</v>
      </c>
      <c r="T87">
        <f t="shared" si="1"/>
        <v>48.689931484445907</v>
      </c>
    </row>
    <row r="88" spans="1:20" x14ac:dyDescent="0.3">
      <c r="A88">
        <v>87</v>
      </c>
      <c r="B88">
        <v>1</v>
      </c>
      <c r="C88">
        <v>1773052456.5039301</v>
      </c>
      <c r="D88">
        <v>1773052523.61291</v>
      </c>
      <c r="E88">
        <v>67.108982645065694</v>
      </c>
      <c r="F88">
        <v>1773052381</v>
      </c>
      <c r="G88">
        <v>1773052452</v>
      </c>
      <c r="H88">
        <v>70.22</v>
      </c>
      <c r="I88">
        <v>-3.1110173549342699</v>
      </c>
      <c r="J88">
        <v>3.1110173549342699</v>
      </c>
      <c r="K88">
        <v>4.5307513316032804</v>
      </c>
      <c r="L88">
        <v>71.612915754318195</v>
      </c>
      <c r="M88">
        <v>71.612915754318195</v>
      </c>
      <c r="N88" s="2">
        <v>4.0389619735913398E-6</v>
      </c>
      <c r="O88" s="3">
        <v>46090.440468796296</v>
      </c>
      <c r="P88" s="3">
        <v>46090.441245520837</v>
      </c>
      <c r="Q88" s="1" t="s">
        <v>116</v>
      </c>
      <c r="R88" s="1" t="s">
        <v>117</v>
      </c>
      <c r="T88">
        <f t="shared" si="1"/>
        <v>3.1110173549343045</v>
      </c>
    </row>
    <row r="89" spans="1:20" x14ac:dyDescent="0.3">
      <c r="A89">
        <v>88</v>
      </c>
      <c r="B89">
        <v>2</v>
      </c>
      <c r="C89">
        <v>1773052456.86887</v>
      </c>
      <c r="D89">
        <v>1773052523.86411</v>
      </c>
      <c r="E89">
        <v>66.995234811302495</v>
      </c>
      <c r="F89">
        <v>1773052393</v>
      </c>
      <c r="G89">
        <v>1773052430</v>
      </c>
      <c r="H89">
        <v>36.491</v>
      </c>
      <c r="I89">
        <v>30.504234811302499</v>
      </c>
      <c r="J89">
        <v>30.504234811302499</v>
      </c>
      <c r="K89">
        <v>58.953221879072402</v>
      </c>
      <c r="L89">
        <v>93.864111423492403</v>
      </c>
      <c r="M89">
        <v>93.864111423492403</v>
      </c>
      <c r="N89" s="2">
        <v>5.2939274299375E-6</v>
      </c>
      <c r="O89" s="3">
        <v>46090.440473020833</v>
      </c>
      <c r="P89" s="3">
        <v>46090.441248425923</v>
      </c>
      <c r="Q89" s="1" t="s">
        <v>112</v>
      </c>
      <c r="R89" s="1" t="s">
        <v>118</v>
      </c>
      <c r="T89">
        <f t="shared" si="1"/>
        <v>-30.504234811302496</v>
      </c>
    </row>
    <row r="90" spans="1:20" x14ac:dyDescent="0.3">
      <c r="A90">
        <v>89</v>
      </c>
      <c r="B90">
        <v>3</v>
      </c>
      <c r="C90">
        <v>1773052478.65892</v>
      </c>
      <c r="D90">
        <v>1773052545.70629</v>
      </c>
      <c r="E90">
        <v>67.047366986214996</v>
      </c>
      <c r="F90">
        <v>1773052398</v>
      </c>
      <c r="G90">
        <v>1773052443</v>
      </c>
      <c r="H90">
        <v>45.317</v>
      </c>
      <c r="I90">
        <v>21.730366986215</v>
      </c>
      <c r="J90">
        <v>21.730366986215</v>
      </c>
      <c r="K90">
        <v>38.678395240514199</v>
      </c>
      <c r="L90">
        <v>102.70629048347401</v>
      </c>
      <c r="M90">
        <v>102.70629048347401</v>
      </c>
      <c r="N90" s="2">
        <v>5.79262547558946E-6</v>
      </c>
      <c r="O90" s="3">
        <v>46090.440725219909</v>
      </c>
      <c r="P90" s="3">
        <v>46090.441501226851</v>
      </c>
      <c r="Q90" s="1" t="s">
        <v>114</v>
      </c>
      <c r="R90" s="1" t="s">
        <v>119</v>
      </c>
      <c r="T90">
        <f t="shared" si="1"/>
        <v>-21.730366986214996</v>
      </c>
    </row>
    <row r="91" spans="1:20" x14ac:dyDescent="0.3">
      <c r="A91">
        <v>90</v>
      </c>
      <c r="B91">
        <v>4</v>
      </c>
      <c r="C91">
        <v>1773052522.5569201</v>
      </c>
      <c r="D91">
        <v>1773052589.7783799</v>
      </c>
      <c r="E91">
        <v>67.221455989524799</v>
      </c>
      <c r="F91">
        <v>1773052430</v>
      </c>
      <c r="G91">
        <v>1773052466</v>
      </c>
      <c r="H91">
        <v>36.069000000000003</v>
      </c>
      <c r="I91">
        <v>31.1524559895248</v>
      </c>
      <c r="J91">
        <v>31.1524559895248</v>
      </c>
      <c r="K91">
        <v>60.3201054561791</v>
      </c>
      <c r="L91">
        <v>123.77838087081901</v>
      </c>
      <c r="M91">
        <v>123.77838087081901</v>
      </c>
      <c r="N91" s="2">
        <v>6.9810893317512999E-6</v>
      </c>
      <c r="O91" s="3">
        <v>46090.44123329861</v>
      </c>
      <c r="P91" s="3">
        <v>46090.442011319443</v>
      </c>
      <c r="Q91" s="1" t="s">
        <v>118</v>
      </c>
      <c r="R91" s="1" t="s">
        <v>120</v>
      </c>
      <c r="T91">
        <f t="shared" si="1"/>
        <v>-31.152455989524796</v>
      </c>
    </row>
    <row r="92" spans="1:20" x14ac:dyDescent="0.3">
      <c r="A92">
        <v>91</v>
      </c>
      <c r="B92">
        <v>1</v>
      </c>
      <c r="C92">
        <v>1773052523.61291</v>
      </c>
      <c r="D92">
        <v>1773052590.5523601</v>
      </c>
      <c r="E92">
        <v>66.939451147870599</v>
      </c>
      <c r="F92">
        <v>1773052443</v>
      </c>
      <c r="G92">
        <v>1773052568</v>
      </c>
      <c r="H92">
        <v>125.39</v>
      </c>
      <c r="I92">
        <v>-58.450548852129302</v>
      </c>
      <c r="J92">
        <v>58.450548852129302</v>
      </c>
      <c r="K92">
        <v>60.7816936025988</v>
      </c>
      <c r="L92">
        <v>22.552366971969601</v>
      </c>
      <c r="M92">
        <v>22.552366971969601</v>
      </c>
      <c r="N92" s="2">
        <v>1.27195139250614E-6</v>
      </c>
      <c r="O92" s="3">
        <v>46090.441245520837</v>
      </c>
      <c r="P92" s="3">
        <v>46090.442020277776</v>
      </c>
      <c r="Q92" s="1" t="s">
        <v>119</v>
      </c>
      <c r="R92" s="1" t="s">
        <v>121</v>
      </c>
      <c r="T92">
        <f t="shared" si="1"/>
        <v>58.450548852129401</v>
      </c>
    </row>
    <row r="93" spans="1:20" x14ac:dyDescent="0.3">
      <c r="A93">
        <v>92</v>
      </c>
      <c r="B93">
        <v>2</v>
      </c>
      <c r="C93">
        <v>1773052523.86411</v>
      </c>
      <c r="D93">
        <v>1773052590.8750501</v>
      </c>
      <c r="E93">
        <v>67.010942535555003</v>
      </c>
      <c r="F93">
        <v>1773052452</v>
      </c>
      <c r="G93">
        <v>1773052489</v>
      </c>
      <c r="H93">
        <v>37.015999999999998</v>
      </c>
      <c r="I93">
        <v>29.994942535555001</v>
      </c>
      <c r="J93">
        <v>29.994942535555001</v>
      </c>
      <c r="K93">
        <v>57.667642255857203</v>
      </c>
      <c r="L93">
        <v>101.875053882598</v>
      </c>
      <c r="M93">
        <v>101.875053882598</v>
      </c>
      <c r="N93" s="2">
        <v>5.7457436589097503E-6</v>
      </c>
      <c r="O93" s="3">
        <v>46090.441248425923</v>
      </c>
      <c r="P93" s="3">
        <v>46090.442024016207</v>
      </c>
      <c r="Q93" s="1" t="s">
        <v>117</v>
      </c>
      <c r="R93" s="1" t="s">
        <v>122</v>
      </c>
      <c r="T93">
        <f t="shared" si="1"/>
        <v>-29.994942535555005</v>
      </c>
    </row>
    <row r="94" spans="1:20" x14ac:dyDescent="0.3">
      <c r="A94">
        <v>93</v>
      </c>
      <c r="B94">
        <v>3</v>
      </c>
      <c r="C94">
        <v>1773052545.70629</v>
      </c>
      <c r="D94">
        <v>1773052612.99733</v>
      </c>
      <c r="E94">
        <v>67.291045312418802</v>
      </c>
      <c r="F94">
        <v>1773052466</v>
      </c>
      <c r="G94">
        <v>1773052514</v>
      </c>
      <c r="H94">
        <v>48.18</v>
      </c>
      <c r="I94">
        <v>19.111045312418799</v>
      </c>
      <c r="J94">
        <v>19.111045312418799</v>
      </c>
      <c r="K94">
        <v>33.101017247591301</v>
      </c>
      <c r="L94">
        <v>98.997335910797105</v>
      </c>
      <c r="M94">
        <v>98.997335910797105</v>
      </c>
      <c r="N94" s="2">
        <v>5.5834405560685096E-6</v>
      </c>
      <c r="O94" s="3">
        <v>46090.441501226851</v>
      </c>
      <c r="P94" s="3">
        <v>46090.442280057869</v>
      </c>
      <c r="Q94" s="1" t="s">
        <v>120</v>
      </c>
      <c r="R94" s="1" t="s">
        <v>123</v>
      </c>
      <c r="T94">
        <f t="shared" si="1"/>
        <v>-19.111045312418803</v>
      </c>
    </row>
    <row r="95" spans="1:20" x14ac:dyDescent="0.3">
      <c r="A95">
        <v>94</v>
      </c>
      <c r="B95">
        <v>4</v>
      </c>
      <c r="C95">
        <v>1773052589.7783799</v>
      </c>
      <c r="D95">
        <v>1773052656.75001</v>
      </c>
      <c r="E95">
        <v>66.971636866920804</v>
      </c>
      <c r="F95">
        <v>1773052489</v>
      </c>
      <c r="G95">
        <v>1773052526</v>
      </c>
      <c r="H95">
        <v>37.222000000000001</v>
      </c>
      <c r="I95">
        <v>29.749636866920799</v>
      </c>
      <c r="J95">
        <v>29.749636866920799</v>
      </c>
      <c r="K95">
        <v>57.1045176298393</v>
      </c>
      <c r="L95">
        <v>130.750017642974</v>
      </c>
      <c r="M95">
        <v>130.750017642974</v>
      </c>
      <c r="N95" s="2">
        <v>7.3742887424212099E-6</v>
      </c>
      <c r="O95" s="3">
        <v>46090.442011319443</v>
      </c>
      <c r="P95" s="3">
        <v>46090.442786458334</v>
      </c>
      <c r="Q95" s="1" t="s">
        <v>122</v>
      </c>
      <c r="R95" s="1" t="s">
        <v>124</v>
      </c>
      <c r="T95">
        <f t="shared" si="1"/>
        <v>-29.749636866920802</v>
      </c>
    </row>
    <row r="96" spans="1:20" x14ac:dyDescent="0.3">
      <c r="A96">
        <v>95</v>
      </c>
      <c r="B96">
        <v>1</v>
      </c>
      <c r="C96">
        <v>1773052590.5523601</v>
      </c>
      <c r="D96">
        <v>1773052657.8682401</v>
      </c>
      <c r="E96">
        <v>67.315878878725201</v>
      </c>
      <c r="F96">
        <v>1773052490</v>
      </c>
      <c r="G96">
        <v>1773052534</v>
      </c>
      <c r="H96">
        <v>43.173000000000002</v>
      </c>
      <c r="I96">
        <v>24.142878878725199</v>
      </c>
      <c r="J96">
        <v>24.142878878725199</v>
      </c>
      <c r="K96">
        <v>43.701916652127302</v>
      </c>
      <c r="L96">
        <v>123.86824584007201</v>
      </c>
      <c r="M96">
        <v>123.86824584007201</v>
      </c>
      <c r="N96" s="2">
        <v>6.9861574396676699E-6</v>
      </c>
      <c r="O96" s="3">
        <v>46090.442020277776</v>
      </c>
      <c r="P96" s="3">
        <v>46090.442799398152</v>
      </c>
      <c r="Q96" s="1" t="s">
        <v>125</v>
      </c>
      <c r="R96" s="1" t="s">
        <v>126</v>
      </c>
      <c r="T96">
        <f t="shared" si="1"/>
        <v>-24.142878878725199</v>
      </c>
    </row>
    <row r="97" spans="1:20" x14ac:dyDescent="0.3">
      <c r="A97">
        <v>96</v>
      </c>
      <c r="B97">
        <v>2</v>
      </c>
      <c r="C97">
        <v>1773052590.8750501</v>
      </c>
      <c r="D97">
        <v>1773052657.82061</v>
      </c>
      <c r="E97">
        <v>66.945561133354005</v>
      </c>
      <c r="F97">
        <v>1773052514</v>
      </c>
      <c r="G97">
        <v>1773052605</v>
      </c>
      <c r="H97">
        <v>91.207999999999998</v>
      </c>
      <c r="I97">
        <v>-24.262438866645901</v>
      </c>
      <c r="J97">
        <v>24.262438866645901</v>
      </c>
      <c r="K97">
        <v>30.682127791214199</v>
      </c>
      <c r="L97">
        <v>52.820615053176802</v>
      </c>
      <c r="M97">
        <v>52.820615053176802</v>
      </c>
      <c r="N97" s="2">
        <v>2.9790776718885498E-6</v>
      </c>
      <c r="O97" s="3">
        <v>46090.442024016207</v>
      </c>
      <c r="P97" s="3">
        <v>46090.442798854165</v>
      </c>
      <c r="Q97" s="1" t="s">
        <v>123</v>
      </c>
      <c r="R97" s="1" t="s">
        <v>127</v>
      </c>
      <c r="T97">
        <f t="shared" si="1"/>
        <v>24.262438866645994</v>
      </c>
    </row>
    <row r="98" spans="1:20" x14ac:dyDescent="0.3">
      <c r="A98">
        <v>97</v>
      </c>
      <c r="B98">
        <v>3</v>
      </c>
      <c r="C98">
        <v>1773052612.99733</v>
      </c>
      <c r="D98">
        <v>1773052680.0762899</v>
      </c>
      <c r="E98">
        <v>67.078955927575393</v>
      </c>
      <c r="F98">
        <v>1773052526</v>
      </c>
      <c r="G98">
        <v>1773052581</v>
      </c>
      <c r="H98">
        <v>55.259</v>
      </c>
      <c r="I98">
        <v>11.8199559275754</v>
      </c>
      <c r="J98">
        <v>11.8199559275754</v>
      </c>
      <c r="K98">
        <v>19.323448455478299</v>
      </c>
      <c r="L98">
        <v>99.076291799545203</v>
      </c>
      <c r="M98">
        <v>99.076291799545203</v>
      </c>
      <c r="N98" s="2">
        <v>5.5878934495855401E-6</v>
      </c>
      <c r="O98" s="3">
        <v>46090.442280057869</v>
      </c>
      <c r="P98" s="3">
        <v>46090.443056435186</v>
      </c>
      <c r="Q98" s="1" t="s">
        <v>124</v>
      </c>
      <c r="R98" s="1" t="s">
        <v>128</v>
      </c>
      <c r="T98">
        <f t="shared" si="1"/>
        <v>-11.819955927575393</v>
      </c>
    </row>
    <row r="99" spans="1:20" x14ac:dyDescent="0.3">
      <c r="A99">
        <v>98</v>
      </c>
      <c r="B99">
        <v>4</v>
      </c>
      <c r="C99">
        <v>1773052656.75001</v>
      </c>
      <c r="D99">
        <v>1773052724.0125301</v>
      </c>
      <c r="E99">
        <v>67.262520768855495</v>
      </c>
      <c r="F99">
        <v>1773052533</v>
      </c>
      <c r="G99">
        <v>1773052577</v>
      </c>
      <c r="H99">
        <v>43.234000000000002</v>
      </c>
      <c r="I99">
        <v>24.0285207688555</v>
      </c>
      <c r="J99">
        <v>24.0285207688555</v>
      </c>
      <c r="K99">
        <v>43.4919047254349</v>
      </c>
      <c r="L99">
        <v>147.01253843307401</v>
      </c>
      <c r="M99">
        <v>147.01253843307401</v>
      </c>
      <c r="N99" s="2">
        <v>8.2914931144936698E-6</v>
      </c>
      <c r="O99" s="3">
        <v>46090.442786458334</v>
      </c>
      <c r="P99" s="3">
        <v>46090.443564965281</v>
      </c>
      <c r="Q99" s="1" t="s">
        <v>129</v>
      </c>
      <c r="R99" s="1" t="s">
        <v>130</v>
      </c>
      <c r="T99">
        <f t="shared" si="1"/>
        <v>-24.028520768855493</v>
      </c>
    </row>
    <row r="100" spans="1:20" x14ac:dyDescent="0.3">
      <c r="A100">
        <v>99</v>
      </c>
      <c r="B100">
        <v>2</v>
      </c>
      <c r="C100">
        <v>1773052657.82061</v>
      </c>
      <c r="D100">
        <v>1773052725.10848</v>
      </c>
      <c r="E100">
        <v>67.287870948934497</v>
      </c>
      <c r="F100">
        <v>1773052568</v>
      </c>
      <c r="G100">
        <v>1773052603</v>
      </c>
      <c r="H100">
        <v>34.659999999999997</v>
      </c>
      <c r="I100">
        <v>32.6278709489345</v>
      </c>
      <c r="J100">
        <v>32.6278709489345</v>
      </c>
      <c r="K100">
        <v>64.008930535249306</v>
      </c>
      <c r="L100">
        <v>122.108485937118</v>
      </c>
      <c r="M100">
        <v>122.108485937118</v>
      </c>
      <c r="N100" s="2">
        <v>6.8869068817113704E-6</v>
      </c>
      <c r="O100" s="3">
        <v>46090.442798854165</v>
      </c>
      <c r="P100" s="3">
        <v>46090.443577638885</v>
      </c>
      <c r="Q100" s="1" t="s">
        <v>121</v>
      </c>
      <c r="R100" s="1" t="s">
        <v>131</v>
      </c>
      <c r="T100">
        <f t="shared" si="1"/>
        <v>-32.6278709489345</v>
      </c>
    </row>
    <row r="101" spans="1:20" x14ac:dyDescent="0.3">
      <c r="A101">
        <v>100</v>
      </c>
      <c r="B101">
        <v>1</v>
      </c>
      <c r="C101">
        <v>1773052657.8682401</v>
      </c>
      <c r="D101">
        <v>1773052724.7824399</v>
      </c>
      <c r="E101">
        <v>66.914197601067897</v>
      </c>
      <c r="F101">
        <v>1773052577</v>
      </c>
      <c r="G101">
        <v>1773052683</v>
      </c>
      <c r="H101">
        <v>106.506</v>
      </c>
      <c r="I101">
        <v>-39.591802398932003</v>
      </c>
      <c r="J101">
        <v>39.591802398932003</v>
      </c>
      <c r="K101">
        <v>45.659966885758202</v>
      </c>
      <c r="L101">
        <v>41.782443523406897</v>
      </c>
      <c r="M101">
        <v>41.782443523406897</v>
      </c>
      <c r="N101" s="2">
        <v>2.3565257497258398E-6</v>
      </c>
      <c r="O101" s="3">
        <v>46090.442799398152</v>
      </c>
      <c r="P101" s="3">
        <v>46090.443573865741</v>
      </c>
      <c r="Q101" s="1" t="s">
        <v>130</v>
      </c>
      <c r="R101" s="1" t="s">
        <v>132</v>
      </c>
      <c r="T101">
        <f t="shared" si="1"/>
        <v>39.591802398932103</v>
      </c>
    </row>
    <row r="102" spans="1:20" x14ac:dyDescent="0.3">
      <c r="A102">
        <v>101</v>
      </c>
      <c r="B102">
        <v>3</v>
      </c>
      <c r="C102">
        <v>1773052680.0762899</v>
      </c>
      <c r="D102">
        <v>1773052747.3807499</v>
      </c>
      <c r="E102">
        <v>67.304463976018297</v>
      </c>
      <c r="F102">
        <v>1773052581</v>
      </c>
      <c r="G102">
        <v>1773052613</v>
      </c>
      <c r="H102">
        <v>31.963999999999999</v>
      </c>
      <c r="I102">
        <v>35.340463976018299</v>
      </c>
      <c r="J102">
        <v>35.340463976018299</v>
      </c>
      <c r="K102">
        <v>71.201794730209699</v>
      </c>
      <c r="L102">
        <v>134.38075566291801</v>
      </c>
      <c r="M102">
        <v>134.38075566291801</v>
      </c>
      <c r="N102" s="2">
        <v>7.5790616468591997E-6</v>
      </c>
      <c r="O102" s="3">
        <v>46090.443056435186</v>
      </c>
      <c r="P102" s="3">
        <v>46090.443835428239</v>
      </c>
      <c r="Q102" s="1" t="s">
        <v>128</v>
      </c>
      <c r="R102" s="1" t="s">
        <v>133</v>
      </c>
      <c r="T102">
        <f t="shared" si="1"/>
        <v>-35.340463976018299</v>
      </c>
    </row>
    <row r="103" spans="1:20" x14ac:dyDescent="0.3">
      <c r="A103">
        <v>102</v>
      </c>
      <c r="B103">
        <v>4</v>
      </c>
      <c r="C103">
        <v>1773052724.0125301</v>
      </c>
      <c r="D103">
        <v>1773052791.33729</v>
      </c>
      <c r="E103">
        <v>67.324753392082599</v>
      </c>
      <c r="F103">
        <v>1773052603</v>
      </c>
      <c r="G103">
        <v>1773052634</v>
      </c>
      <c r="H103">
        <v>31.568000000000001</v>
      </c>
      <c r="I103">
        <v>35.756753392082601</v>
      </c>
      <c r="J103">
        <v>35.756753392082601</v>
      </c>
      <c r="K103">
        <v>72.314203347776001</v>
      </c>
      <c r="L103">
        <v>157.33729171752901</v>
      </c>
      <c r="M103">
        <v>157.33729171752901</v>
      </c>
      <c r="N103" s="2">
        <v>8.8738079016680094E-6</v>
      </c>
      <c r="O103" s="3">
        <v>46090.443564965281</v>
      </c>
      <c r="P103" s="3">
        <v>46090.444344178242</v>
      </c>
      <c r="Q103" s="1" t="s">
        <v>131</v>
      </c>
      <c r="R103" s="1" t="s">
        <v>134</v>
      </c>
      <c r="T103">
        <f t="shared" si="1"/>
        <v>-35.756753392082601</v>
      </c>
    </row>
    <row r="104" spans="1:20" x14ac:dyDescent="0.3">
      <c r="A104">
        <v>103</v>
      </c>
      <c r="B104">
        <v>1</v>
      </c>
      <c r="C104">
        <v>1773052724.7824399</v>
      </c>
      <c r="D104">
        <v>1773052791.69824</v>
      </c>
      <c r="E104">
        <v>66.915799298710496</v>
      </c>
      <c r="F104">
        <v>1773052605</v>
      </c>
      <c r="G104">
        <v>1773052705</v>
      </c>
      <c r="H104">
        <v>99.703000000000003</v>
      </c>
      <c r="I104">
        <v>-32.7872007012894</v>
      </c>
      <c r="J104">
        <v>32.7872007012894</v>
      </c>
      <c r="K104">
        <v>39.355944034273399</v>
      </c>
      <c r="L104">
        <v>86.698242902755695</v>
      </c>
      <c r="M104">
        <v>86.698242902755695</v>
      </c>
      <c r="N104" s="2">
        <v>4.88977234227689E-6</v>
      </c>
      <c r="O104" s="3">
        <v>46090.443573865741</v>
      </c>
      <c r="P104" s="3">
        <v>46090.444348356483</v>
      </c>
      <c r="Q104" s="1" t="s">
        <v>127</v>
      </c>
      <c r="R104" s="1" t="s">
        <v>135</v>
      </c>
      <c r="T104">
        <f t="shared" si="1"/>
        <v>32.787200701289507</v>
      </c>
    </row>
    <row r="105" spans="1:20" x14ac:dyDescent="0.3">
      <c r="A105">
        <v>104</v>
      </c>
      <c r="B105">
        <v>2</v>
      </c>
      <c r="C105">
        <v>1773052725.10848</v>
      </c>
      <c r="D105">
        <v>1773052792.1334</v>
      </c>
      <c r="E105">
        <v>67.024919470243105</v>
      </c>
      <c r="F105">
        <v>1773052612</v>
      </c>
      <c r="G105">
        <v>1773052659</v>
      </c>
      <c r="H105">
        <v>46.564</v>
      </c>
      <c r="I105">
        <v>20.460919470243098</v>
      </c>
      <c r="J105">
        <v>20.460919470243098</v>
      </c>
      <c r="K105">
        <v>36.026259543041597</v>
      </c>
      <c r="L105">
        <v>133.133405447006</v>
      </c>
      <c r="M105">
        <v>133.133405447006</v>
      </c>
      <c r="N105" s="2">
        <v>7.50871102293103E-6</v>
      </c>
      <c r="O105" s="3">
        <v>46090.443577638885</v>
      </c>
      <c r="P105" s="3">
        <v>46090.444353391205</v>
      </c>
      <c r="Q105" s="1" t="s">
        <v>136</v>
      </c>
      <c r="R105" s="1" t="s">
        <v>137</v>
      </c>
      <c r="T105">
        <f t="shared" si="1"/>
        <v>-20.460919470243105</v>
      </c>
    </row>
    <row r="106" spans="1:20" x14ac:dyDescent="0.3">
      <c r="A106">
        <v>105</v>
      </c>
      <c r="B106">
        <v>3</v>
      </c>
      <c r="C106">
        <v>1773052747.3807499</v>
      </c>
      <c r="D106">
        <v>1773052814.37468</v>
      </c>
      <c r="E106">
        <v>66.993929492997097</v>
      </c>
      <c r="F106">
        <v>1773052634</v>
      </c>
      <c r="G106">
        <v>1773052668</v>
      </c>
      <c r="H106">
        <v>33.265999999999998</v>
      </c>
      <c r="I106">
        <v>33.727929492997099</v>
      </c>
      <c r="J106">
        <v>33.727929492997099</v>
      </c>
      <c r="K106">
        <v>67.280975886488903</v>
      </c>
      <c r="L106">
        <v>146.37468504905701</v>
      </c>
      <c r="M106">
        <v>146.37468504905701</v>
      </c>
      <c r="N106" s="2">
        <v>8.2555178223878196E-6</v>
      </c>
      <c r="O106" s="3">
        <v>46090.443835428239</v>
      </c>
      <c r="P106" s="3">
        <v>46090.44461082176</v>
      </c>
      <c r="Q106" s="1" t="s">
        <v>134</v>
      </c>
      <c r="R106" s="1" t="s">
        <v>138</v>
      </c>
      <c r="T106">
        <f t="shared" si="1"/>
        <v>-33.727929492997099</v>
      </c>
    </row>
    <row r="107" spans="1:20" x14ac:dyDescent="0.3">
      <c r="A107">
        <v>106</v>
      </c>
      <c r="B107">
        <v>4</v>
      </c>
      <c r="C107">
        <v>1773052791.33729</v>
      </c>
      <c r="D107">
        <v>1773052858.06586</v>
      </c>
      <c r="E107">
        <v>66.728573291056605</v>
      </c>
      <c r="F107">
        <v>1773052659</v>
      </c>
      <c r="G107">
        <v>1773052690</v>
      </c>
      <c r="H107">
        <v>31.469000000000001</v>
      </c>
      <c r="I107">
        <v>35.259573291056597</v>
      </c>
      <c r="J107">
        <v>35.259573291056597</v>
      </c>
      <c r="K107">
        <v>71.813532879366804</v>
      </c>
      <c r="L107">
        <v>168.06586503982501</v>
      </c>
      <c r="M107">
        <v>168.06586503982501</v>
      </c>
      <c r="N107" s="2">
        <v>9.4788980622132193E-6</v>
      </c>
      <c r="O107" s="3">
        <v>46090.444344178242</v>
      </c>
      <c r="P107" s="3">
        <v>46090.445116504627</v>
      </c>
      <c r="Q107" s="1" t="s">
        <v>137</v>
      </c>
      <c r="R107" s="1" t="s">
        <v>139</v>
      </c>
      <c r="T107">
        <f t="shared" si="1"/>
        <v>-35.259573291056604</v>
      </c>
    </row>
    <row r="108" spans="1:20" x14ac:dyDescent="0.3">
      <c r="A108">
        <v>107</v>
      </c>
      <c r="B108">
        <v>1</v>
      </c>
      <c r="C108">
        <v>1773052791.69824</v>
      </c>
      <c r="D108">
        <v>1773052858.32498</v>
      </c>
      <c r="E108">
        <v>66.626744905101503</v>
      </c>
      <c r="F108">
        <v>1773052667</v>
      </c>
      <c r="G108">
        <v>1773052710</v>
      </c>
      <c r="H108">
        <v>42.173000000000002</v>
      </c>
      <c r="I108">
        <v>24.453744905101502</v>
      </c>
      <c r="J108">
        <v>24.453744905101502</v>
      </c>
      <c r="K108">
        <v>44.951842352996003</v>
      </c>
      <c r="L108">
        <v>148.32498788833601</v>
      </c>
      <c r="M108">
        <v>148.32498788833601</v>
      </c>
      <c r="N108" s="2">
        <v>8.36551450770248E-6</v>
      </c>
      <c r="O108" s="3">
        <v>46090.444348356483</v>
      </c>
      <c r="P108" s="3">
        <v>46090.445119502314</v>
      </c>
      <c r="Q108" s="1" t="s">
        <v>140</v>
      </c>
      <c r="R108" s="1" t="s">
        <v>141</v>
      </c>
      <c r="T108">
        <f t="shared" si="1"/>
        <v>-24.453744905101502</v>
      </c>
    </row>
    <row r="109" spans="1:20" x14ac:dyDescent="0.3">
      <c r="A109">
        <v>108</v>
      </c>
      <c r="B109">
        <v>2</v>
      </c>
      <c r="C109">
        <v>1773052792.1334</v>
      </c>
      <c r="D109">
        <v>1773052858.65558</v>
      </c>
      <c r="E109">
        <v>66.522181264037897</v>
      </c>
      <c r="F109">
        <v>1773052683</v>
      </c>
      <c r="G109">
        <v>1773052719</v>
      </c>
      <c r="H109">
        <v>35.731999999999999</v>
      </c>
      <c r="I109">
        <v>30.790181264037901</v>
      </c>
      <c r="J109">
        <v>30.790181264037901</v>
      </c>
      <c r="K109">
        <v>60.2228307604016</v>
      </c>
      <c r="L109">
        <v>139.655586719512</v>
      </c>
      <c r="M109">
        <v>139.655586719512</v>
      </c>
      <c r="N109" s="2">
        <v>7.8765611266341599E-6</v>
      </c>
      <c r="O109" s="3">
        <v>46090.444353391205</v>
      </c>
      <c r="P109" s="3">
        <v>46090.445123333331</v>
      </c>
      <c r="Q109" s="1" t="s">
        <v>132</v>
      </c>
      <c r="R109" s="1" t="s">
        <v>142</v>
      </c>
      <c r="T109">
        <f t="shared" si="1"/>
        <v>-30.790181264037898</v>
      </c>
    </row>
    <row r="110" spans="1:20" x14ac:dyDescent="0.3">
      <c r="A110">
        <v>109</v>
      </c>
      <c r="B110">
        <v>3</v>
      </c>
      <c r="C110">
        <v>1773052814.37468</v>
      </c>
      <c r="D110">
        <v>1773052881.03756</v>
      </c>
      <c r="E110">
        <v>66.662882219101405</v>
      </c>
      <c r="F110">
        <v>1773052690</v>
      </c>
      <c r="G110">
        <v>1773052765</v>
      </c>
      <c r="H110">
        <v>74.179000000000002</v>
      </c>
      <c r="I110">
        <v>-7.5161177808985498</v>
      </c>
      <c r="J110">
        <v>7.5161177808985498</v>
      </c>
      <c r="K110">
        <v>10.673128848428799</v>
      </c>
      <c r="L110">
        <v>116.03756737709</v>
      </c>
      <c r="M110">
        <v>116.03756737709</v>
      </c>
      <c r="N110" s="2">
        <v>6.5445070711162397E-6</v>
      </c>
      <c r="O110" s="3">
        <v>46090.44461082176</v>
      </c>
      <c r="P110" s="3">
        <v>46090.445382384256</v>
      </c>
      <c r="Q110" s="1" t="s">
        <v>139</v>
      </c>
      <c r="R110" s="1" t="s">
        <v>143</v>
      </c>
      <c r="T110">
        <f t="shared" si="1"/>
        <v>7.5161177808985968</v>
      </c>
    </row>
    <row r="111" spans="1:20" x14ac:dyDescent="0.3">
      <c r="A111">
        <v>110</v>
      </c>
      <c r="B111">
        <v>4</v>
      </c>
      <c r="C111">
        <v>1773052858.06586</v>
      </c>
      <c r="D111">
        <v>1773052924.84008</v>
      </c>
      <c r="E111">
        <v>66.774222452431502</v>
      </c>
      <c r="F111">
        <v>1773052705</v>
      </c>
      <c r="G111">
        <v>1773052766</v>
      </c>
      <c r="H111">
        <v>61.030999999999999</v>
      </c>
      <c r="I111">
        <v>5.74322245243156</v>
      </c>
      <c r="J111">
        <v>5.74322245243156</v>
      </c>
      <c r="K111">
        <v>8.98746129810017</v>
      </c>
      <c r="L111">
        <v>158.84008741378699</v>
      </c>
      <c r="M111">
        <v>158.84008741378699</v>
      </c>
      <c r="N111" s="2">
        <v>8.9585647615685095E-6</v>
      </c>
      <c r="O111" s="3">
        <v>46090.445116504627</v>
      </c>
      <c r="P111" s="3">
        <v>46090.445889351853</v>
      </c>
      <c r="Q111" s="1" t="s">
        <v>135</v>
      </c>
      <c r="R111" s="1" t="s">
        <v>144</v>
      </c>
      <c r="T111">
        <f t="shared" si="1"/>
        <v>-5.7432224524315032</v>
      </c>
    </row>
    <row r="112" spans="1:20" x14ac:dyDescent="0.3">
      <c r="A112">
        <v>111</v>
      </c>
      <c r="B112">
        <v>1</v>
      </c>
      <c r="C112">
        <v>1773052858.32498</v>
      </c>
      <c r="D112">
        <v>1773052924.8956001</v>
      </c>
      <c r="E112">
        <v>66.570615841164894</v>
      </c>
      <c r="F112">
        <v>1773052710</v>
      </c>
      <c r="G112">
        <v>1773052755</v>
      </c>
      <c r="H112">
        <v>45.182000000000002</v>
      </c>
      <c r="I112">
        <v>21.388615841164899</v>
      </c>
      <c r="J112">
        <v>21.388615841164899</v>
      </c>
      <c r="K112">
        <v>38.278505930572202</v>
      </c>
      <c r="L112">
        <v>169.895603656768</v>
      </c>
      <c r="M112">
        <v>169.895603656768</v>
      </c>
      <c r="N112" s="2">
        <v>9.5820947818887592E-6</v>
      </c>
      <c r="O112" s="3">
        <v>46090.445119502314</v>
      </c>
      <c r="P112" s="3">
        <v>46090.445890000003</v>
      </c>
      <c r="Q112" s="1" t="s">
        <v>141</v>
      </c>
      <c r="R112" s="1" t="s">
        <v>145</v>
      </c>
      <c r="T112">
        <f t="shared" si="1"/>
        <v>-21.388615841164892</v>
      </c>
    </row>
    <row r="113" spans="1:20" x14ac:dyDescent="0.3">
      <c r="A113">
        <v>112</v>
      </c>
      <c r="B113">
        <v>2</v>
      </c>
      <c r="C113">
        <v>1773052858.65558</v>
      </c>
      <c r="D113">
        <v>1773052925.2265601</v>
      </c>
      <c r="E113">
        <v>66.570978116568199</v>
      </c>
      <c r="F113">
        <v>1773052719</v>
      </c>
      <c r="G113">
        <v>1773052755</v>
      </c>
      <c r="H113">
        <v>36.713000000000001</v>
      </c>
      <c r="I113">
        <v>29.857978116568201</v>
      </c>
      <c r="J113">
        <v>29.857978116568201</v>
      </c>
      <c r="K113">
        <v>57.817250382958598</v>
      </c>
      <c r="L113">
        <v>170.226564884185</v>
      </c>
      <c r="M113">
        <v>170.226564884185</v>
      </c>
      <c r="N113" s="2">
        <v>9.6007609605876006E-6</v>
      </c>
      <c r="O113" s="3">
        <v>46090.445123333331</v>
      </c>
      <c r="P113" s="3">
        <v>46090.44589383102</v>
      </c>
      <c r="Q113" s="1" t="s">
        <v>142</v>
      </c>
      <c r="R113" s="1" t="s">
        <v>145</v>
      </c>
      <c r="T113">
        <f t="shared" si="1"/>
        <v>-29.857978116568198</v>
      </c>
    </row>
    <row r="114" spans="1:20" x14ac:dyDescent="0.3">
      <c r="A114">
        <v>113</v>
      </c>
      <c r="B114">
        <v>3</v>
      </c>
      <c r="C114">
        <v>1773052881.03756</v>
      </c>
      <c r="D114">
        <v>1773052948.00617</v>
      </c>
      <c r="E114">
        <v>66.968609100010099</v>
      </c>
      <c r="F114">
        <v>1773052755</v>
      </c>
      <c r="G114">
        <v>1773052798</v>
      </c>
      <c r="H114">
        <v>42.341999999999999</v>
      </c>
      <c r="I114">
        <v>24.6266091000101</v>
      </c>
      <c r="J114">
        <v>24.6266091000101</v>
      </c>
      <c r="K114">
        <v>45.058040208116999</v>
      </c>
      <c r="L114">
        <v>150.00617647171001</v>
      </c>
      <c r="M114">
        <v>150.00617647171001</v>
      </c>
      <c r="N114" s="2">
        <v>8.4603329520364997E-6</v>
      </c>
      <c r="O114" s="3">
        <v>46090.445382384256</v>
      </c>
      <c r="P114" s="3">
        <v>46090.44615747685</v>
      </c>
      <c r="Q114" s="1" t="s">
        <v>145</v>
      </c>
      <c r="R114" s="1" t="s">
        <v>146</v>
      </c>
      <c r="T114">
        <f t="shared" si="1"/>
        <v>-24.6266091000101</v>
      </c>
    </row>
    <row r="115" spans="1:20" x14ac:dyDescent="0.3">
      <c r="A115">
        <v>114</v>
      </c>
      <c r="B115">
        <v>4</v>
      </c>
      <c r="C115">
        <v>1773052924.84008</v>
      </c>
      <c r="D115">
        <v>1773052991.3957</v>
      </c>
      <c r="E115">
        <v>66.555615142650595</v>
      </c>
      <c r="F115">
        <v>1773052755</v>
      </c>
      <c r="G115">
        <v>1773052814</v>
      </c>
      <c r="H115">
        <v>59.795999999999999</v>
      </c>
      <c r="I115">
        <v>6.7596151426505902</v>
      </c>
      <c r="J115">
        <v>6.7596151426505902</v>
      </c>
      <c r="K115">
        <v>10.6996893312665</v>
      </c>
      <c r="L115">
        <v>177.39570260047901</v>
      </c>
      <c r="M115">
        <v>177.39570260047901</v>
      </c>
      <c r="N115" s="2">
        <v>1.0005099246083201E-5</v>
      </c>
      <c r="O115" s="3">
        <v>46090.445889351853</v>
      </c>
      <c r="P115" s="3">
        <v>46090.446659675923</v>
      </c>
      <c r="Q115" s="1" t="s">
        <v>145</v>
      </c>
      <c r="R115" s="1" t="s">
        <v>147</v>
      </c>
      <c r="T115">
        <f t="shared" si="1"/>
        <v>-6.7596151426505955</v>
      </c>
    </row>
    <row r="116" spans="1:20" x14ac:dyDescent="0.3">
      <c r="A116">
        <v>115</v>
      </c>
      <c r="B116">
        <v>1</v>
      </c>
      <c r="C116">
        <v>1773052924.8956001</v>
      </c>
      <c r="D116">
        <v>1773052991.8492401</v>
      </c>
      <c r="E116">
        <v>66.953642502346696</v>
      </c>
      <c r="F116">
        <v>1773052764</v>
      </c>
      <c r="G116">
        <v>1773052846</v>
      </c>
      <c r="H116">
        <v>81.757000000000005</v>
      </c>
      <c r="I116">
        <v>-14.803357497653201</v>
      </c>
      <c r="J116">
        <v>14.803357497653201</v>
      </c>
      <c r="K116">
        <v>19.908941617839599</v>
      </c>
      <c r="L116">
        <v>145.849246263504</v>
      </c>
      <c r="M116">
        <v>145.849246263504</v>
      </c>
      <c r="N116" s="2">
        <v>8.2258823020332205E-6</v>
      </c>
      <c r="O116" s="3">
        <v>46090.445890000003</v>
      </c>
      <c r="P116" s="3">
        <v>46090.446664918978</v>
      </c>
      <c r="Q116" s="1" t="s">
        <v>148</v>
      </c>
      <c r="R116" s="1" t="s">
        <v>149</v>
      </c>
      <c r="T116">
        <f t="shared" si="1"/>
        <v>14.803357497653309</v>
      </c>
    </row>
    <row r="117" spans="1:20" x14ac:dyDescent="0.3">
      <c r="A117">
        <v>116</v>
      </c>
      <c r="B117">
        <v>2</v>
      </c>
      <c r="C117">
        <v>1773052925.2265601</v>
      </c>
      <c r="D117">
        <v>1773052991.37046</v>
      </c>
      <c r="E117">
        <v>66.1439025396121</v>
      </c>
      <c r="F117">
        <v>1773052766</v>
      </c>
      <c r="G117">
        <v>1773052826</v>
      </c>
      <c r="H117">
        <v>59.981000000000002</v>
      </c>
      <c r="I117">
        <v>6.1629025396121202</v>
      </c>
      <c r="J117">
        <v>6.1629025396121202</v>
      </c>
      <c r="K117">
        <v>9.7726974063294705</v>
      </c>
      <c r="L117">
        <v>165.37046742439199</v>
      </c>
      <c r="M117">
        <v>165.37046742439199</v>
      </c>
      <c r="N117" s="2">
        <v>9.3268771966325196E-6</v>
      </c>
      <c r="O117" s="3">
        <v>46090.44589383102</v>
      </c>
      <c r="P117" s="3">
        <v>46090.446659374997</v>
      </c>
      <c r="Q117" s="1" t="s">
        <v>144</v>
      </c>
      <c r="R117" s="1" t="s">
        <v>150</v>
      </c>
      <c r="T117">
        <f t="shared" si="1"/>
        <v>-6.162902539612098</v>
      </c>
    </row>
    <row r="118" spans="1:20" x14ac:dyDescent="0.3">
      <c r="A118">
        <v>117</v>
      </c>
      <c r="B118">
        <v>3</v>
      </c>
      <c r="C118">
        <v>1773052948.00617</v>
      </c>
      <c r="D118">
        <v>1773053015.0054901</v>
      </c>
      <c r="E118">
        <v>66.999316382534104</v>
      </c>
      <c r="F118">
        <v>1773052798</v>
      </c>
      <c r="G118">
        <v>1773052838</v>
      </c>
      <c r="H118">
        <v>40.228000000000002</v>
      </c>
      <c r="I118">
        <v>26.771316382534099</v>
      </c>
      <c r="J118">
        <v>26.771316382534099</v>
      </c>
      <c r="K118">
        <v>49.9337618168625</v>
      </c>
      <c r="L118">
        <v>177.00549292564301</v>
      </c>
      <c r="M118">
        <v>177.00549292564301</v>
      </c>
      <c r="N118" s="2">
        <v>9.9830913268211301E-6</v>
      </c>
      <c r="O118" s="3">
        <v>46090.44615747685</v>
      </c>
      <c r="P118" s="3">
        <v>46090.446932928244</v>
      </c>
      <c r="Q118" s="1" t="s">
        <v>146</v>
      </c>
      <c r="R118" s="1" t="s">
        <v>151</v>
      </c>
      <c r="T118">
        <f t="shared" si="1"/>
        <v>-26.771316382534103</v>
      </c>
    </row>
    <row r="119" spans="1:20" x14ac:dyDescent="0.3">
      <c r="A119">
        <v>118</v>
      </c>
      <c r="B119">
        <v>2</v>
      </c>
      <c r="C119">
        <v>1773052991.37046</v>
      </c>
      <c r="D119">
        <v>1773053058.02125</v>
      </c>
      <c r="E119">
        <v>66.650785819860204</v>
      </c>
      <c r="F119">
        <v>1773052814</v>
      </c>
      <c r="G119">
        <v>1773052896</v>
      </c>
      <c r="H119">
        <v>81.537999999999997</v>
      </c>
      <c r="I119">
        <v>-14.887214180139701</v>
      </c>
      <c r="J119">
        <v>14.887214180139701</v>
      </c>
      <c r="K119">
        <v>20.092227759038099</v>
      </c>
      <c r="L119">
        <v>162.021253347396</v>
      </c>
      <c r="M119">
        <v>162.021253347396</v>
      </c>
      <c r="N119" s="2">
        <v>9.1379815182152697E-6</v>
      </c>
      <c r="O119" s="3">
        <v>46090.446659374997</v>
      </c>
      <c r="P119" s="3">
        <v>46090.447430798609</v>
      </c>
      <c r="Q119" s="1" t="s">
        <v>147</v>
      </c>
      <c r="R119" s="1" t="s">
        <v>152</v>
      </c>
      <c r="T119">
        <f t="shared" si="1"/>
        <v>14.887214180139793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2026-06-18T11:09:05Z</dcterms:modified>
</cp:coreProperties>
</file>