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grain 222/"/>
    </mc:Choice>
  </mc:AlternateContent>
  <xr:revisionPtr revIDLastSave="39" documentId="11_AD4DADEC636C813AC809E415181B7BC65BDEDD96" xr6:coauthVersionLast="47" xr6:coauthVersionMax="47" xr10:uidLastSave="{732C86BB-14AE-4CDC-8F25-F815E676B66F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9" i="1" l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<sst xmlns="http://schemas.openxmlformats.org/spreadsheetml/2006/main" count="495" uniqueCount="255">
  <si>
    <t>real_end_datetime</t>
  </si>
  <si>
    <t>real_start_datetime</t>
  </si>
  <si>
    <t>predicted_end_datetime</t>
  </si>
  <si>
    <t>predicted_start_datetime</t>
  </si>
  <si>
    <t>end_time_smape</t>
  </si>
  <si>
    <t>end_time_abs_error_seconds</t>
  </si>
  <si>
    <t>end_time_error_seconds</t>
  </si>
  <si>
    <t>duration_smape</t>
  </si>
  <si>
    <t>duration_abs_error_seconds</t>
  </si>
  <si>
    <t>duration_error_seconds</t>
  </si>
  <si>
    <t>real_duration_seconds</t>
  </si>
  <si>
    <t>real_end_time</t>
  </si>
  <si>
    <t>real_start_time</t>
  </si>
  <si>
    <t>predicted_duration_seconds</t>
  </si>
  <si>
    <t>predicted_end_time</t>
  </si>
  <si>
    <t>predicted_start_time</t>
  </si>
  <si>
    <t>worker_id</t>
  </si>
  <si>
    <t>queue_position</t>
  </si>
  <si>
    <t>9,03,2026  10:10:47</t>
  </si>
  <si>
    <t>9,03,2026  10:12:20</t>
  </si>
  <si>
    <t>9,03,2026  10:11:27</t>
  </si>
  <si>
    <t>9,03,2026  10:11:37</t>
  </si>
  <si>
    <t>9,03,2026  10:11:25</t>
  </si>
  <si>
    <t>9,03,2026  10:12:02</t>
  </si>
  <si>
    <t>9,03,2026  10:11:52</t>
  </si>
  <si>
    <t>9,03,2026  10:12:26</t>
  </si>
  <si>
    <t>9,03,2026  10:12:18</t>
  </si>
  <si>
    <t>9,03,2026  10:11:26</t>
  </si>
  <si>
    <t>9,03,2026  10:12:07</t>
  </si>
  <si>
    <t>9,03,2026  10:12:19</t>
  </si>
  <si>
    <t>9,03,2026  10:13:45</t>
  </si>
  <si>
    <t>9,03,2026  10:12:37</t>
  </si>
  <si>
    <t>9,03,2026  10:13:09</t>
  </si>
  <si>
    <t>9,03,2026  10:12:38</t>
  </si>
  <si>
    <t>9,03,2026  10:13:16</t>
  </si>
  <si>
    <t>9,03,2026  10:12:57</t>
  </si>
  <si>
    <t>9,03,2026  10:13:03</t>
  </si>
  <si>
    <t>9,03,2026  10:13:51</t>
  </si>
  <si>
    <t>9,03,2026  10:13:05</t>
  </si>
  <si>
    <t>9,03,2026  10:13:48</t>
  </si>
  <si>
    <t>9,03,2026  10:12:40</t>
  </si>
  <si>
    <t>9,03,2026  10:13:58</t>
  </si>
  <si>
    <t>9,03,2026  10:13:18</t>
  </si>
  <si>
    <t>9,03,2026  10:14:28</t>
  </si>
  <si>
    <t>9,03,2026  10:12:56</t>
  </si>
  <si>
    <t>9,03,2026  10:13:26</t>
  </si>
  <si>
    <t>9,03,2026  10:14:38</t>
  </si>
  <si>
    <t>9,03,2026  10:13:38</t>
  </si>
  <si>
    <t>9,03,2026  10:14:34</t>
  </si>
  <si>
    <t>9,03,2026  10:13:39</t>
  </si>
  <si>
    <t>9,03,2026  10:14:48</t>
  </si>
  <si>
    <t>9,03,2026  10:13:52</t>
  </si>
  <si>
    <t>9,03,2026  10:15:18</t>
  </si>
  <si>
    <t>9,03,2026  10:15:26</t>
  </si>
  <si>
    <t>9,03,2026  10:15:58</t>
  </si>
  <si>
    <t>9,03,2026  10:14:08</t>
  </si>
  <si>
    <t>9,03,2026  10:15:28</t>
  </si>
  <si>
    <t>9,03,2026  10:14:15</t>
  </si>
  <si>
    <t>9,03,2026  10:15:38</t>
  </si>
  <si>
    <t>9,03,2026  10:14:19</t>
  </si>
  <si>
    <t>9,03,2026  10:16:07</t>
  </si>
  <si>
    <t>9,03,2026  10:15:29</t>
  </si>
  <si>
    <t>9,03,2026  10:16:17</t>
  </si>
  <si>
    <t>9,03,2026  10:15:48</t>
  </si>
  <si>
    <t>9,03,2026  10:16:27</t>
  </si>
  <si>
    <t>9,03,2026  10:16:29</t>
  </si>
  <si>
    <t>9,03,2026  10:16:41</t>
  </si>
  <si>
    <t>9,03,2026  10:16:57</t>
  </si>
  <si>
    <t>9,03,2026  10:15:59</t>
  </si>
  <si>
    <t>9,03,2026  10:17:07</t>
  </si>
  <si>
    <t>9,03,2026  10:15:47</t>
  </si>
  <si>
    <t>9,03,2026  10:16:58</t>
  </si>
  <si>
    <t>9,03,2026  10:17:17</t>
  </si>
  <si>
    <t>9,03,2026  10:19:23</t>
  </si>
  <si>
    <t>9,03,2026  10:17:31</t>
  </si>
  <si>
    <t>9,03,2026  10:16:32</t>
  </si>
  <si>
    <t>9,03,2026  10:17:47</t>
  </si>
  <si>
    <t>9,03,2026  10:18:02</t>
  </si>
  <si>
    <t>9,03,2026  10:17:49</t>
  </si>
  <si>
    <t>9,03,2026  10:17:53</t>
  </si>
  <si>
    <t>9,03,2026  10:18:00</t>
  </si>
  <si>
    <t>9,03,2026  10:17:29</t>
  </si>
  <si>
    <t>9,03,2026  10:18:21</t>
  </si>
  <si>
    <t>9,03,2026  10:18:03</t>
  </si>
  <si>
    <t>9,03,2026  10:18:29</t>
  </si>
  <si>
    <t>9,03,2026  10:17:52</t>
  </si>
  <si>
    <t>9,03,2026  10:19:13</t>
  </si>
  <si>
    <t>9,03,2026  10:18:35</t>
  </si>
  <si>
    <t>9,03,2026  10:18:50</t>
  </si>
  <si>
    <t>9,03,2026  10:19:03</t>
  </si>
  <si>
    <t>9,03,2026  10:19:17</t>
  </si>
  <si>
    <t>9,03,2026  10:19:24</t>
  </si>
  <si>
    <t>9,03,2026  10:19:26</t>
  </si>
  <si>
    <t>9,03,2026  10:19:32</t>
  </si>
  <si>
    <t>9,03,2026  10:19:33</t>
  </si>
  <si>
    <t>9,03,2026  10:20:10</t>
  </si>
  <si>
    <t>9,03,2026  10:19:58</t>
  </si>
  <si>
    <t>9,03,2026  10:20:00</t>
  </si>
  <si>
    <t>9,03,2026  10:19:53</t>
  </si>
  <si>
    <t>9,03,2026  10:20:08</t>
  </si>
  <si>
    <t>9,03,2026  10:20:54</t>
  </si>
  <si>
    <t>9,03,2026  10:20:14</t>
  </si>
  <si>
    <t>9,03,2026  10:20:11</t>
  </si>
  <si>
    <t>9,03,2026  10:20:57</t>
  </si>
  <si>
    <t>9,03,2026  10:20:32</t>
  </si>
  <si>
    <t>9,03,2026  10:21:05</t>
  </si>
  <si>
    <t>9,03,2026  10:20:38</t>
  </si>
  <si>
    <t>9,03,2026  10:21:07</t>
  </si>
  <si>
    <t>9,03,2026  10:22:32</t>
  </si>
  <si>
    <t>9,03,2026  10:21:11</t>
  </si>
  <si>
    <t>9,03,2026  10:22:00</t>
  </si>
  <si>
    <t>9,03,2026  10:21:53</t>
  </si>
  <si>
    <t>9,03,2026  10:21:48</t>
  </si>
  <si>
    <t>9,03,2026  10:21:19</t>
  </si>
  <si>
    <t>9,03,2026  10:22:04</t>
  </si>
  <si>
    <t>9,03,2026  10:22:08</t>
  </si>
  <si>
    <t>9,03,2026  10:21:59</t>
  </si>
  <si>
    <t>9,03,2026  10:23:57</t>
  </si>
  <si>
    <t>9,03,2026  10:22:45</t>
  </si>
  <si>
    <t>9,03,2026  10:23:59</t>
  </si>
  <si>
    <t>9,03,2026  10:22:50</t>
  </si>
  <si>
    <t>9,03,2026  10:24:24</t>
  </si>
  <si>
    <t>9,03,2026  10:23:01</t>
  </si>
  <si>
    <t>9,03,2026  10:22:31</t>
  </si>
  <si>
    <t>9,03,2026  10:24:30</t>
  </si>
  <si>
    <t>9,03,2026  10:22:51</t>
  </si>
  <si>
    <t>9,03,2026  10:25:22</t>
  </si>
  <si>
    <t>9,03,2026  10:23:27</t>
  </si>
  <si>
    <t>9,03,2026  10:23:58</t>
  </si>
  <si>
    <t>9,03,2026  10:24:37</t>
  </si>
  <si>
    <t>9,03,2026  10:23:47</t>
  </si>
  <si>
    <t>9,03,2026  10:24:23</t>
  </si>
  <si>
    <t>9,03,2026  10:26:07</t>
  </si>
  <si>
    <t>9,03,2026  10:23:48</t>
  </si>
  <si>
    <t>9,03,2026  10:24:59</t>
  </si>
  <si>
    <t>9,03,2026  10:25:39</t>
  </si>
  <si>
    <t>9,03,2026  10:26:54</t>
  </si>
  <si>
    <t>9,03,2026  10:24:44</t>
  </si>
  <si>
    <t>9,03,2026  10:27:04</t>
  </si>
  <si>
    <t>9,03,2026  10:24:45</t>
  </si>
  <si>
    <t>9,03,2026  10:25:38</t>
  </si>
  <si>
    <t>9,03,2026  10:27:32</t>
  </si>
  <si>
    <t>9,03,2026  10:25:31</t>
  </si>
  <si>
    <t>9,03,2026  10:27:22</t>
  </si>
  <si>
    <t>9,03,2026  10:25:21</t>
  </si>
  <si>
    <t>9,03,2026  10:28:56</t>
  </si>
  <si>
    <t>9,03,2026  10:26:18</t>
  </si>
  <si>
    <t>9,03,2026  10:28:00</t>
  </si>
  <si>
    <t>9,03,2026  10:28:45</t>
  </si>
  <si>
    <t>9,03,2026  10:26:55</t>
  </si>
  <si>
    <t>9,03,2026  10:27:31</t>
  </si>
  <si>
    <t>9,03,2026  10:28:36</t>
  </si>
  <si>
    <t>9,03,2026  10:29:18</t>
  </si>
  <si>
    <t>9,03,2026  10:27:51</t>
  </si>
  <si>
    <t>9,03,2026  10:28:35</t>
  </si>
  <si>
    <t>9,03,2026  10:29:29</t>
  </si>
  <si>
    <t>9,03,2026  10:29:44</t>
  </si>
  <si>
    <t>9,03,2026  10:28:28</t>
  </si>
  <si>
    <t>9,03,2026  10:30:00</t>
  </si>
  <si>
    <t>9,03,2026  10:27:47</t>
  </si>
  <si>
    <t>9,03,2026  10:31:17</t>
  </si>
  <si>
    <t>9,03,2026  10:29:20</t>
  </si>
  <si>
    <t>9,03,2026  10:30:04</t>
  </si>
  <si>
    <t>9,03,2026  10:29:24</t>
  </si>
  <si>
    <t>9,03,2026  10:30:40</t>
  </si>
  <si>
    <t>9,03,2026  10:31:22</t>
  </si>
  <si>
    <t>9,03,2026  10:29:25</t>
  </si>
  <si>
    <t>9,03,2026  10:32:05</t>
  </si>
  <si>
    <t>9,03,2026  10:30:03</t>
  </si>
  <si>
    <t>9,03,2026  10:30:39</t>
  </si>
  <si>
    <t>9,03,2026  10:31:30</t>
  </si>
  <si>
    <t>9,03,2026  10:30:06</t>
  </si>
  <si>
    <t>9,03,2026  10:31:58</t>
  </si>
  <si>
    <t>9,03,2026  10:30:07</t>
  </si>
  <si>
    <t>9,03,2026  10:32:16</t>
  </si>
  <si>
    <t>9,03,2026  10:30:58</t>
  </si>
  <si>
    <t>9,03,2026  10:32:42</t>
  </si>
  <si>
    <t>9,03,2026  10:31:35</t>
  </si>
  <si>
    <t>9,03,2026  10:32:55</t>
  </si>
  <si>
    <t>9,03,2026  10:31:39</t>
  </si>
  <si>
    <t>9,03,2026  10:33:02</t>
  </si>
  <si>
    <t>9,03,2026  10:33:13</t>
  </si>
  <si>
    <t>9,03,2026  10:31:40</t>
  </si>
  <si>
    <t>9,03,2026  10:32:41</t>
  </si>
  <si>
    <t>9,03,2026  10:33:18</t>
  </si>
  <si>
    <t>9,03,2026  10:32:18</t>
  </si>
  <si>
    <t>9,03,2026  10:34:51</t>
  </si>
  <si>
    <t>9,03,2026  10:32:36</t>
  </si>
  <si>
    <t>9,03,2026  10:33:01</t>
  </si>
  <si>
    <t>9,03,2026  10:34:12</t>
  </si>
  <si>
    <t>9,03,2026  10:32:22</t>
  </si>
  <si>
    <t>9,03,2026  10:33:50</t>
  </si>
  <si>
    <t>9,03,2026  10:32:38</t>
  </si>
  <si>
    <t>9,03,2026  10:34:03</t>
  </si>
  <si>
    <t>9,03,2026  10:33:15</t>
  </si>
  <si>
    <t>9,03,2026  10:34:26</t>
  </si>
  <si>
    <t>9,03,2026  10:33:19</t>
  </si>
  <si>
    <t>9,03,2026  10:36:08</t>
  </si>
  <si>
    <t>9,03,2026  10:34:49</t>
  </si>
  <si>
    <t>9,03,2026  10:33:21</t>
  </si>
  <si>
    <t>9,03,2026  10:35:14</t>
  </si>
  <si>
    <t>9,03,2026  10:33:58</t>
  </si>
  <si>
    <t>9,03,2026  10:35:26</t>
  </si>
  <si>
    <t>9,03,2026  10:34:02</t>
  </si>
  <si>
    <t>9,03,2026  10:34:50</t>
  </si>
  <si>
    <t>9,03,2026  10:35:34</t>
  </si>
  <si>
    <t>9,03,2026  10:36:45</t>
  </si>
  <si>
    <t>9,03,2026  10:34:04</t>
  </si>
  <si>
    <t>9,03,2026  10:36:21</t>
  </si>
  <si>
    <t>9,03,2026  10:34:41</t>
  </si>
  <si>
    <t>9,03,2026  10:35:33</t>
  </si>
  <si>
    <t>9,03,2026  10:36:17</t>
  </si>
  <si>
    <t>9,03,2026  10:35:00</t>
  </si>
  <si>
    <t>9,03,2026  10:36:43</t>
  </si>
  <si>
    <t>9,03,2026  10:38:03</t>
  </si>
  <si>
    <t>9,03,2026  10:34:47</t>
  </si>
  <si>
    <t>9,03,2026  10:36:53</t>
  </si>
  <si>
    <t>9,03,2026  10:35:39</t>
  </si>
  <si>
    <t>9,03,2026  10:37:14</t>
  </si>
  <si>
    <t>9,03,2026  10:35:44</t>
  </si>
  <si>
    <t>9,03,2026  10:38:25</t>
  </si>
  <si>
    <t>9,03,2026  10:35:43</t>
  </si>
  <si>
    <t>9,03,2026  10:36:52</t>
  </si>
  <si>
    <t>9,03,2026  10:37:39</t>
  </si>
  <si>
    <t>9,03,2026  10:37:48</t>
  </si>
  <si>
    <t>9,03,2026  10:36:36</t>
  </si>
  <si>
    <t>9,03,2026  10:38:10</t>
  </si>
  <si>
    <t>9,03,2026  10:36:40</t>
  </si>
  <si>
    <t>9,03,2026  10:37:47</t>
  </si>
  <si>
    <t>9,03,2026  10:38:30</t>
  </si>
  <si>
    <t>9,03,2026  10:38:39</t>
  </si>
  <si>
    <t>9,03,2026  10:36:41</t>
  </si>
  <si>
    <t>9,03,2026  10:39:25</t>
  </si>
  <si>
    <t>9,03,2026  10:37:33</t>
  </si>
  <si>
    <t>9,03,2026  10:39:26</t>
  </si>
  <si>
    <t>9,03,2026  10:37:37</t>
  </si>
  <si>
    <t>9,03,2026  10:39:15</t>
  </si>
  <si>
    <t>9,03,2026  10:37:24</t>
  </si>
  <si>
    <t>9,03,2026  10:39:58</t>
  </si>
  <si>
    <t>9,03,2026  10:38:22</t>
  </si>
  <si>
    <t>9,03,2026  10:40:14</t>
  </si>
  <si>
    <t>9,03,2026  10:38:17</t>
  </si>
  <si>
    <t>9,03,2026  10:39:24</t>
  </si>
  <si>
    <t>9,03,2026  10:40:46</t>
  </si>
  <si>
    <t>9,03,2026  10:38:35</t>
  </si>
  <si>
    <t>9,03,2026  10:40:26</t>
  </si>
  <si>
    <t>9,03,2026  10:38:21</t>
  </si>
  <si>
    <t>9,03,2026  10:40:38</t>
  </si>
  <si>
    <t>9,03,2026  10:39:14</t>
  </si>
  <si>
    <t>9,03,2026  10:41:36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</si>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</sst>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Hoeffding Trees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93.417688969258606</c:v>
                </c:pt>
                <c:pt idx="1">
                  <c:v>49.637342398884101</c:v>
                </c:pt>
                <c:pt idx="2">
                  <c:v>49.629158188153198</c:v>
                </c:pt>
                <c:pt idx="3">
                  <c:v>49.6473830083564</c:v>
                </c:pt>
                <c:pt idx="4">
                  <c:v>49.658247738343597</c:v>
                </c:pt>
                <c:pt idx="5">
                  <c:v>49.660553546592297</c:v>
                </c:pt>
                <c:pt idx="6">
                  <c:v>49.654248088950503</c:v>
                </c:pt>
                <c:pt idx="7">
                  <c:v>85.015240384615396</c:v>
                </c:pt>
                <c:pt idx="8">
                  <c:v>42.593236914600503</c:v>
                </c:pt>
                <c:pt idx="9">
                  <c:v>49.6386569444443</c:v>
                </c:pt>
                <c:pt idx="10">
                  <c:v>49.631306731436403</c:v>
                </c:pt>
                <c:pt idx="11">
                  <c:v>42.560934065933999</c:v>
                </c:pt>
                <c:pt idx="12">
                  <c:v>32.379241960183698</c:v>
                </c:pt>
                <c:pt idx="13">
                  <c:v>42.521605479451999</c:v>
                </c:pt>
                <c:pt idx="14">
                  <c:v>42.509751366120099</c:v>
                </c:pt>
                <c:pt idx="15">
                  <c:v>49.627730235783503</c:v>
                </c:pt>
                <c:pt idx="16">
                  <c:v>42.473621253405902</c:v>
                </c:pt>
                <c:pt idx="17">
                  <c:v>49.617519057518898</c:v>
                </c:pt>
                <c:pt idx="18">
                  <c:v>49.606673130193798</c:v>
                </c:pt>
                <c:pt idx="19">
                  <c:v>84.536419047619006</c:v>
                </c:pt>
                <c:pt idx="20">
                  <c:v>49.655748096885702</c:v>
                </c:pt>
                <c:pt idx="21">
                  <c:v>49.646269709543397</c:v>
                </c:pt>
                <c:pt idx="22">
                  <c:v>49.630562543192703</c:v>
                </c:pt>
                <c:pt idx="23">
                  <c:v>49.651636740331398</c:v>
                </c:pt>
                <c:pt idx="24">
                  <c:v>49.681406487232401</c:v>
                </c:pt>
                <c:pt idx="25">
                  <c:v>42.449374999999897</c:v>
                </c:pt>
                <c:pt idx="26">
                  <c:v>49.7370213793102</c:v>
                </c:pt>
                <c:pt idx="27">
                  <c:v>49.724237767057097</c:v>
                </c:pt>
                <c:pt idx="28">
                  <c:v>49.738521349862097</c:v>
                </c:pt>
                <c:pt idx="29">
                  <c:v>49.845275292498101</c:v>
                </c:pt>
                <c:pt idx="30">
                  <c:v>49.8336059147179</c:v>
                </c:pt>
                <c:pt idx="31">
                  <c:v>42.421357723577202</c:v>
                </c:pt>
                <c:pt idx="32">
                  <c:v>42.523875675675598</c:v>
                </c:pt>
                <c:pt idx="33">
                  <c:v>49.8632274914088</c:v>
                </c:pt>
                <c:pt idx="34">
                  <c:v>42.492803234501302</c:v>
                </c:pt>
                <c:pt idx="35">
                  <c:v>84.027424528301907</c:v>
                </c:pt>
                <c:pt idx="36">
                  <c:v>49.852788461538303</c:v>
                </c:pt>
                <c:pt idx="37">
                  <c:v>56.767243355481597</c:v>
                </c:pt>
                <c:pt idx="38">
                  <c:v>56.7724215767633</c:v>
                </c:pt>
                <c:pt idx="39">
                  <c:v>42.454026881720402</c:v>
                </c:pt>
                <c:pt idx="40">
                  <c:v>56.765834162520598</c:v>
                </c:pt>
                <c:pt idx="41">
                  <c:v>42.421753351206398</c:v>
                </c:pt>
                <c:pt idx="42">
                  <c:v>42.389708556149699</c:v>
                </c:pt>
                <c:pt idx="43">
                  <c:v>42.517762666666599</c:v>
                </c:pt>
                <c:pt idx="44">
                  <c:v>56.747967688483698</c:v>
                </c:pt>
                <c:pt idx="45">
                  <c:v>56.733354304635597</c:v>
                </c:pt>
                <c:pt idx="46">
                  <c:v>56.718987593051899</c:v>
                </c:pt>
                <c:pt idx="47">
                  <c:v>56.788613223140302</c:v>
                </c:pt>
                <c:pt idx="48">
                  <c:v>56.815064409578703</c:v>
                </c:pt>
                <c:pt idx="49">
                  <c:v>42.5035851063829</c:v>
                </c:pt>
                <c:pt idx="50">
                  <c:v>56.835847359735801</c:v>
                </c:pt>
                <c:pt idx="51">
                  <c:v>56.822815333882801</c:v>
                </c:pt>
                <c:pt idx="52">
                  <c:v>56.873426688632499</c:v>
                </c:pt>
                <c:pt idx="53">
                  <c:v>56.924879835390797</c:v>
                </c:pt>
                <c:pt idx="54">
                  <c:v>56.996765624999803</c:v>
                </c:pt>
                <c:pt idx="55">
                  <c:v>42.456824933686903</c:v>
                </c:pt>
                <c:pt idx="56">
                  <c:v>42.569055555555501</c:v>
                </c:pt>
                <c:pt idx="57">
                  <c:v>57.047001643385201</c:v>
                </c:pt>
                <c:pt idx="58">
                  <c:v>57.084862889983398</c:v>
                </c:pt>
                <c:pt idx="59">
                  <c:v>57.061931091058099</c:v>
                </c:pt>
                <c:pt idx="60">
                  <c:v>57.065279508196603</c:v>
                </c:pt>
                <c:pt idx="61">
                  <c:v>57.112501228501102</c:v>
                </c:pt>
                <c:pt idx="62">
                  <c:v>57.148921440261702</c:v>
                </c:pt>
                <c:pt idx="63">
                  <c:v>93.320990974729199</c:v>
                </c:pt>
                <c:pt idx="64">
                  <c:v>57.195136549468401</c:v>
                </c:pt>
                <c:pt idx="65">
                  <c:v>93.288293693693703</c:v>
                </c:pt>
                <c:pt idx="66">
                  <c:v>93.221489208633102</c:v>
                </c:pt>
                <c:pt idx="67">
                  <c:v>93.202885098743295</c:v>
                </c:pt>
                <c:pt idx="68">
                  <c:v>93.151012544802896</c:v>
                </c:pt>
                <c:pt idx="69">
                  <c:v>93.123894454382807</c:v>
                </c:pt>
                <c:pt idx="70">
                  <c:v>93.053933928571396</c:v>
                </c:pt>
                <c:pt idx="71">
                  <c:v>92.992465240641707</c:v>
                </c:pt>
                <c:pt idx="72">
                  <c:v>42.560176781002603</c:v>
                </c:pt>
                <c:pt idx="73">
                  <c:v>92.941144128113905</c:v>
                </c:pt>
                <c:pt idx="74">
                  <c:v>92.837486678508</c:v>
                </c:pt>
                <c:pt idx="75">
                  <c:v>92.771572695035502</c:v>
                </c:pt>
                <c:pt idx="76">
                  <c:v>57.247858660130603</c:v>
                </c:pt>
                <c:pt idx="77">
                  <c:v>42.760323684210498</c:v>
                </c:pt>
                <c:pt idx="78">
                  <c:v>42.781262467191503</c:v>
                </c:pt>
                <c:pt idx="79">
                  <c:v>42.776573298429298</c:v>
                </c:pt>
                <c:pt idx="80">
                  <c:v>92.752936283185804</c:v>
                </c:pt>
                <c:pt idx="81">
                  <c:v>92.715583038869298</c:v>
                </c:pt>
                <c:pt idx="82">
                  <c:v>92.653266313933003</c:v>
                </c:pt>
                <c:pt idx="83">
                  <c:v>92.590054577464798</c:v>
                </c:pt>
                <c:pt idx="84">
                  <c:v>42.8071775456918</c:v>
                </c:pt>
                <c:pt idx="85">
                  <c:v>42.7898854166666</c:v>
                </c:pt>
                <c:pt idx="86">
                  <c:v>57.300480816326399</c:v>
                </c:pt>
                <c:pt idx="87">
                  <c:v>42.979114285714203</c:v>
                </c:pt>
                <c:pt idx="88">
                  <c:v>57.311018760195601</c:v>
                </c:pt>
                <c:pt idx="89">
                  <c:v>57.301243683781401</c:v>
                </c:pt>
                <c:pt idx="90">
                  <c:v>57.283953583061702</c:v>
                </c:pt>
                <c:pt idx="91">
                  <c:v>42.962305699481803</c:v>
                </c:pt>
                <c:pt idx="92">
                  <c:v>42.946940568475398</c:v>
                </c:pt>
                <c:pt idx="93">
                  <c:v>42.960427835051497</c:v>
                </c:pt>
                <c:pt idx="94">
                  <c:v>42.9456760925449</c:v>
                </c:pt>
                <c:pt idx="95">
                  <c:v>42.946258974358898</c:v>
                </c:pt>
                <c:pt idx="96">
                  <c:v>43.069690537084298</c:v>
                </c:pt>
                <c:pt idx="97">
                  <c:v>43.1007857142856</c:v>
                </c:pt>
                <c:pt idx="98">
                  <c:v>57.339369406021</c:v>
                </c:pt>
                <c:pt idx="99">
                  <c:v>57.320930894308802</c:v>
                </c:pt>
                <c:pt idx="100">
                  <c:v>43.101124681933797</c:v>
                </c:pt>
                <c:pt idx="101">
                  <c:v>57.360886271323999</c:v>
                </c:pt>
                <c:pt idx="102">
                  <c:v>57.3399504870128</c:v>
                </c:pt>
                <c:pt idx="103">
                  <c:v>43.072857868020201</c:v>
                </c:pt>
                <c:pt idx="104">
                  <c:v>43.081696202531603</c:v>
                </c:pt>
                <c:pt idx="105">
                  <c:v>57.374308191402903</c:v>
                </c:pt>
                <c:pt idx="106">
                  <c:v>57.353315235007898</c:v>
                </c:pt>
                <c:pt idx="107">
                  <c:v>57.3410234817812</c:v>
                </c:pt>
                <c:pt idx="108">
                  <c:v>57.323540453074301</c:v>
                </c:pt>
                <c:pt idx="109">
                  <c:v>57.337166531931899</c:v>
                </c:pt>
                <c:pt idx="110">
                  <c:v>57.340150242326203</c:v>
                </c:pt>
                <c:pt idx="111">
                  <c:v>57.330337368845697</c:v>
                </c:pt>
                <c:pt idx="112">
                  <c:v>43.056909090909002</c:v>
                </c:pt>
                <c:pt idx="113">
                  <c:v>57.3137104838708</c:v>
                </c:pt>
                <c:pt idx="114">
                  <c:v>43.055108312342497</c:v>
                </c:pt>
                <c:pt idx="115">
                  <c:v>57.315710717163398</c:v>
                </c:pt>
                <c:pt idx="116">
                  <c:v>43.152349246231097</c:v>
                </c:pt>
                <c:pt idx="117">
                  <c:v>57.317856682769602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42-4C45-8033-9FB1ADB2F674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39.847000000000001</c:v>
                </c:pt>
                <c:pt idx="1">
                  <c:v>37.893000000000001</c:v>
                </c:pt>
                <c:pt idx="2">
                  <c:v>75.8</c:v>
                </c:pt>
                <c:pt idx="3">
                  <c:v>65.260000000000005</c:v>
                </c:pt>
                <c:pt idx="4">
                  <c:v>52.973999999999997</c:v>
                </c:pt>
                <c:pt idx="5">
                  <c:v>40.587000000000003</c:v>
                </c:pt>
                <c:pt idx="6">
                  <c:v>27.202999999999999</c:v>
                </c:pt>
                <c:pt idx="7">
                  <c:v>34.738999999999997</c:v>
                </c:pt>
                <c:pt idx="8">
                  <c:v>30.835000000000001</c:v>
                </c:pt>
                <c:pt idx="9">
                  <c:v>39.046999999999997</c:v>
                </c:pt>
                <c:pt idx="10">
                  <c:v>44.473999999999997</c:v>
                </c:pt>
                <c:pt idx="11">
                  <c:v>28.206</c:v>
                </c:pt>
                <c:pt idx="12">
                  <c:v>2.5779999999999998</c:v>
                </c:pt>
                <c:pt idx="13">
                  <c:v>38.183</c:v>
                </c:pt>
                <c:pt idx="14">
                  <c:v>29.25</c:v>
                </c:pt>
                <c:pt idx="15">
                  <c:v>34.893000000000001</c:v>
                </c:pt>
                <c:pt idx="16">
                  <c:v>33.551000000000002</c:v>
                </c:pt>
                <c:pt idx="17">
                  <c:v>33.956000000000003</c:v>
                </c:pt>
                <c:pt idx="18">
                  <c:v>120.52</c:v>
                </c:pt>
                <c:pt idx="19">
                  <c:v>30.582999999999998</c:v>
                </c:pt>
                <c:pt idx="20">
                  <c:v>35.950000000000003</c:v>
                </c:pt>
                <c:pt idx="21">
                  <c:v>26.917999999999999</c:v>
                </c:pt>
                <c:pt idx="22">
                  <c:v>80.146000000000001</c:v>
                </c:pt>
                <c:pt idx="23">
                  <c:v>92.787999999999997</c:v>
                </c:pt>
                <c:pt idx="24">
                  <c:v>130.32300000000001</c:v>
                </c:pt>
                <c:pt idx="25">
                  <c:v>32.110999999999997</c:v>
                </c:pt>
                <c:pt idx="26">
                  <c:v>31.187999999999999</c:v>
                </c:pt>
                <c:pt idx="27">
                  <c:v>70.463999999999999</c:v>
                </c:pt>
                <c:pt idx="28">
                  <c:v>204.852</c:v>
                </c:pt>
                <c:pt idx="29">
                  <c:v>32.878</c:v>
                </c:pt>
                <c:pt idx="30">
                  <c:v>92.933000000000007</c:v>
                </c:pt>
                <c:pt idx="31">
                  <c:v>80.352999999999994</c:v>
                </c:pt>
                <c:pt idx="32">
                  <c:v>30.995999999999999</c:v>
                </c:pt>
                <c:pt idx="33">
                  <c:v>34.664000000000001</c:v>
                </c:pt>
                <c:pt idx="34">
                  <c:v>28.068000000000001</c:v>
                </c:pt>
                <c:pt idx="35">
                  <c:v>33.451999999999998</c:v>
                </c:pt>
                <c:pt idx="36">
                  <c:v>59.23</c:v>
                </c:pt>
                <c:pt idx="37">
                  <c:v>63.006999999999998</c:v>
                </c:pt>
                <c:pt idx="38">
                  <c:v>48.828000000000003</c:v>
                </c:pt>
                <c:pt idx="39">
                  <c:v>30.416</c:v>
                </c:pt>
                <c:pt idx="40">
                  <c:v>35.201000000000001</c:v>
                </c:pt>
                <c:pt idx="41">
                  <c:v>30.437000000000001</c:v>
                </c:pt>
                <c:pt idx="42">
                  <c:v>90.41</c:v>
                </c:pt>
                <c:pt idx="43">
                  <c:v>37.186999999999998</c:v>
                </c:pt>
                <c:pt idx="44">
                  <c:v>39.094999999999999</c:v>
                </c:pt>
                <c:pt idx="45">
                  <c:v>39.363999999999997</c:v>
                </c:pt>
                <c:pt idx="46">
                  <c:v>140.96600000000001</c:v>
                </c:pt>
                <c:pt idx="47">
                  <c:v>88.820999999999998</c:v>
                </c:pt>
                <c:pt idx="48">
                  <c:v>82.004000000000005</c:v>
                </c:pt>
                <c:pt idx="49">
                  <c:v>24.875</c:v>
                </c:pt>
                <c:pt idx="50">
                  <c:v>41.027999999999999</c:v>
                </c:pt>
                <c:pt idx="51">
                  <c:v>118.265</c:v>
                </c:pt>
                <c:pt idx="52">
                  <c:v>119.389</c:v>
                </c:pt>
                <c:pt idx="53">
                  <c:v>144.33799999999999</c:v>
                </c:pt>
                <c:pt idx="54">
                  <c:v>118.134</c:v>
                </c:pt>
                <c:pt idx="55">
                  <c:v>84.88</c:v>
                </c:pt>
                <c:pt idx="56">
                  <c:v>39.204000000000001</c:v>
                </c:pt>
                <c:pt idx="57">
                  <c:v>103.16200000000001</c:v>
                </c:pt>
                <c:pt idx="58">
                  <c:v>29.131</c:v>
                </c:pt>
                <c:pt idx="59">
                  <c:v>61.146999999999998</c:v>
                </c:pt>
                <c:pt idx="60">
                  <c:v>114.723</c:v>
                </c:pt>
                <c:pt idx="61">
                  <c:v>101.61799999999999</c:v>
                </c:pt>
                <c:pt idx="62">
                  <c:v>113.67</c:v>
                </c:pt>
                <c:pt idx="63">
                  <c:v>75.174000000000007</c:v>
                </c:pt>
                <c:pt idx="64">
                  <c:v>121.727</c:v>
                </c:pt>
                <c:pt idx="65">
                  <c:v>56.145000000000003</c:v>
                </c:pt>
                <c:pt idx="66">
                  <c:v>82.858999999999995</c:v>
                </c:pt>
                <c:pt idx="67">
                  <c:v>64.257999999999996</c:v>
                </c:pt>
                <c:pt idx="68">
                  <c:v>77.992000000000004</c:v>
                </c:pt>
                <c:pt idx="69">
                  <c:v>53.945999999999998</c:v>
                </c:pt>
                <c:pt idx="70">
                  <c:v>58.57</c:v>
                </c:pt>
                <c:pt idx="71">
                  <c:v>64.150000000000006</c:v>
                </c:pt>
                <c:pt idx="72">
                  <c:v>118.616</c:v>
                </c:pt>
                <c:pt idx="73">
                  <c:v>34.582000000000001</c:v>
                </c:pt>
                <c:pt idx="74">
                  <c:v>55.661999999999999</c:v>
                </c:pt>
                <c:pt idx="75">
                  <c:v>82.242000000000004</c:v>
                </c:pt>
                <c:pt idx="76">
                  <c:v>121.71</c:v>
                </c:pt>
                <c:pt idx="77">
                  <c:v>50.738</c:v>
                </c:pt>
                <c:pt idx="78">
                  <c:v>40.99</c:v>
                </c:pt>
                <c:pt idx="79">
                  <c:v>54.497999999999998</c:v>
                </c:pt>
                <c:pt idx="80">
                  <c:v>71.611000000000004</c:v>
                </c:pt>
                <c:pt idx="81">
                  <c:v>57.381999999999998</c:v>
                </c:pt>
                <c:pt idx="82">
                  <c:v>56.749000000000002</c:v>
                </c:pt>
                <c:pt idx="83">
                  <c:v>56.865000000000002</c:v>
                </c:pt>
                <c:pt idx="84">
                  <c:v>36.167000000000002</c:v>
                </c:pt>
                <c:pt idx="85">
                  <c:v>115.643</c:v>
                </c:pt>
                <c:pt idx="86">
                  <c:v>70.22</c:v>
                </c:pt>
                <c:pt idx="87">
                  <c:v>36.491</c:v>
                </c:pt>
                <c:pt idx="88">
                  <c:v>45.317</c:v>
                </c:pt>
                <c:pt idx="89">
                  <c:v>36.069000000000003</c:v>
                </c:pt>
                <c:pt idx="90">
                  <c:v>125.39</c:v>
                </c:pt>
                <c:pt idx="91">
                  <c:v>37.015999999999998</c:v>
                </c:pt>
                <c:pt idx="92">
                  <c:v>48.18</c:v>
                </c:pt>
                <c:pt idx="93">
                  <c:v>37.222000000000001</c:v>
                </c:pt>
                <c:pt idx="94">
                  <c:v>43.173000000000002</c:v>
                </c:pt>
                <c:pt idx="95">
                  <c:v>91.207999999999998</c:v>
                </c:pt>
                <c:pt idx="96">
                  <c:v>55.259</c:v>
                </c:pt>
                <c:pt idx="97">
                  <c:v>43.234000000000002</c:v>
                </c:pt>
                <c:pt idx="98">
                  <c:v>34.659999999999997</c:v>
                </c:pt>
                <c:pt idx="99">
                  <c:v>106.506</c:v>
                </c:pt>
                <c:pt idx="100">
                  <c:v>31.963999999999999</c:v>
                </c:pt>
                <c:pt idx="101">
                  <c:v>31.568000000000001</c:v>
                </c:pt>
                <c:pt idx="102">
                  <c:v>99.703000000000003</c:v>
                </c:pt>
                <c:pt idx="103">
                  <c:v>46.564</c:v>
                </c:pt>
                <c:pt idx="104">
                  <c:v>33.265999999999998</c:v>
                </c:pt>
                <c:pt idx="105">
                  <c:v>31.469000000000001</c:v>
                </c:pt>
                <c:pt idx="106">
                  <c:v>42.173000000000002</c:v>
                </c:pt>
                <c:pt idx="107">
                  <c:v>35.731999999999999</c:v>
                </c:pt>
                <c:pt idx="108">
                  <c:v>74.179000000000002</c:v>
                </c:pt>
                <c:pt idx="109">
                  <c:v>61.030999999999999</c:v>
                </c:pt>
                <c:pt idx="110">
                  <c:v>45.182000000000002</c:v>
                </c:pt>
                <c:pt idx="111">
                  <c:v>36.713000000000001</c:v>
                </c:pt>
                <c:pt idx="112">
                  <c:v>42.341999999999999</c:v>
                </c:pt>
                <c:pt idx="113">
                  <c:v>59.795999999999999</c:v>
                </c:pt>
                <c:pt idx="114">
                  <c:v>81.757000000000005</c:v>
                </c:pt>
                <c:pt idx="115">
                  <c:v>59.981000000000002</c:v>
                </c:pt>
                <c:pt idx="116">
                  <c:v>40.228000000000002</c:v>
                </c:pt>
                <c:pt idx="117">
                  <c:v>81.537999999999997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42-4C45-8033-9FB1ADB2F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39952"/>
        <c:axId val="194544752"/>
      </c:scatterChart>
      <c:valAx>
        <c:axId val="19453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44752"/>
        <c:crosses val="autoZero"/>
        <c:crossBetween val="midCat"/>
      </c:valAx>
      <c:valAx>
        <c:axId val="19454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39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1399309</xdr:colOff>
      <xdr:row>4</xdr:row>
      <xdr:rowOff>127660</xdr:rowOff>
    </xdr:from>
    <xdr:to>
      <xdr:col>25</xdr:col>
      <xdr:colOff>598714</xdr:colOff>
      <xdr:row>34</xdr:row>
      <xdr:rowOff>124690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AFADF50-47A8-DEF4-BDDE-9F923EC2B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9"/>
  <sheetViews>
    <sheetView tabSelected="1" zoomScale="85" zoomScaleNormal="85" workbookViewId="0">
      <selection activeCell="T1" sqref="T1:X1048576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12</v>
      </c>
      <c r="G1" t="s">
        <v>11</v>
      </c>
      <c r="H1" t="s">
        <v>10</v>
      </c>
      <c r="I1" t="s">
        <v>9</v>
      </c>
      <c r="J1" t="s">
        <v>8</v>
      </c>
      <c r="K1" t="s">
        <v>7</v>
      </c>
      <c r="L1" t="s">
        <v>6</v>
      </c>
      <c r="M1" t="s">
        <v>5</v>
      </c>
      <c r="N1" t="s">
        <v>4</v>
      </c>
      <c r="O1" t="s">
        <v>3</v>
      </c>
      <c r="P1" t="s">
        <v>2</v>
      </c>
      <c r="Q1" t="s">
        <v>1</v>
      </c>
      <c r="R1" t="s">
        <v>0</v>
      </c>
      <c r="T1" t="s">
        <v>250</v>
      </c>
      <c r="U1" t="s">
        <v>251</v>
      </c>
      <c r="V1" t="s">
        <v>252</v>
      </c>
      <c r="W1" t="s">
        <v>253</v>
      </c>
      <c r="X1" t="s">
        <v>254</v>
      </c>
    </row>
    <row r="2" spans="1:24" x14ac:dyDescent="0.3">
      <c r="A2">
        <v>1</v>
      </c>
      <c r="B2">
        <v>1</v>
      </c>
      <c r="C2">
        <v>1773051047</v>
      </c>
      <c r="D2">
        <v>1773051140.41768</v>
      </c>
      <c r="E2">
        <v>93.417688969258606</v>
      </c>
      <c r="F2">
        <v>1773051047</v>
      </c>
      <c r="G2">
        <v>1773051087</v>
      </c>
      <c r="H2">
        <v>39.847000000000001</v>
      </c>
      <c r="I2">
        <v>53.570688969258597</v>
      </c>
      <c r="J2">
        <v>53.570688969258597</v>
      </c>
      <c r="K2">
        <v>80.397424679565702</v>
      </c>
      <c r="L2">
        <v>53.4176890850067</v>
      </c>
      <c r="M2">
        <v>53.4176890850067</v>
      </c>
      <c r="N2" s="3">
        <v>3.0127551694360501E-6</v>
      </c>
      <c r="O2" s="2" t="s">
        <v>18</v>
      </c>
      <c r="P2" s="2" t="s">
        <v>19</v>
      </c>
      <c r="Q2" s="1" t="s">
        <v>18</v>
      </c>
      <c r="R2" s="1" t="s">
        <v>20</v>
      </c>
      <c r="T2">
        <f>H2-E2</f>
        <v>-53.570688969258605</v>
      </c>
      <c r="U2">
        <f>AVERAGE(T2:T119)</f>
        <v>4.638476834103372</v>
      </c>
      <c r="V2">
        <f>MEDIAN(T2:T119)</f>
        <v>-6.5641459157030013</v>
      </c>
      <c r="W2">
        <f>COUNTIF(T2:T119,"&lt;0")/COUNT(T2:T119)</f>
        <v>0.5847457627118644</v>
      </c>
      <c r="X2">
        <f>COUNTIF(T2:T119,"&gt;0")/COUNT(T2:T119)</f>
        <v>0.4152542372881356</v>
      </c>
    </row>
    <row r="3" spans="1:24" x14ac:dyDescent="0.3">
      <c r="A3">
        <v>2</v>
      </c>
      <c r="B3">
        <v>2</v>
      </c>
      <c r="C3">
        <v>1773051047</v>
      </c>
      <c r="D3">
        <v>1773051096.6373401</v>
      </c>
      <c r="E3">
        <v>49.637342398884101</v>
      </c>
      <c r="F3">
        <v>1773051047</v>
      </c>
      <c r="G3">
        <v>1773051085</v>
      </c>
      <c r="H3">
        <v>37.893000000000001</v>
      </c>
      <c r="I3">
        <v>11.7443423988841</v>
      </c>
      <c r="J3">
        <v>11.7443423988841</v>
      </c>
      <c r="K3">
        <v>26.834905649892299</v>
      </c>
      <c r="L3">
        <v>11.637342453002899</v>
      </c>
      <c r="M3">
        <v>11.637342453002899</v>
      </c>
      <c r="N3" s="3">
        <v>6.5634557928218598E-7</v>
      </c>
      <c r="O3" s="2" t="s">
        <v>18</v>
      </c>
      <c r="P3" s="2" t="s">
        <v>21</v>
      </c>
      <c r="Q3" s="1" t="s">
        <v>18</v>
      </c>
      <c r="R3" s="1" t="s">
        <v>22</v>
      </c>
      <c r="T3">
        <f t="shared" ref="T3:T66" si="0">H3-E3</f>
        <v>-11.7443423988841</v>
      </c>
    </row>
    <row r="4" spans="1:24" x14ac:dyDescent="0.3">
      <c r="A4">
        <v>3</v>
      </c>
      <c r="B4">
        <v>3</v>
      </c>
      <c r="C4">
        <v>1773051047</v>
      </c>
      <c r="D4">
        <v>1773051096.6291499</v>
      </c>
      <c r="E4">
        <v>49.629158188153198</v>
      </c>
      <c r="F4">
        <v>1773051047</v>
      </c>
      <c r="G4">
        <v>1773051122</v>
      </c>
      <c r="H4">
        <v>75.8</v>
      </c>
      <c r="I4">
        <v>-26.170841811846699</v>
      </c>
      <c r="J4">
        <v>26.170841811846699</v>
      </c>
      <c r="K4">
        <v>41.730076466890601</v>
      </c>
      <c r="L4">
        <v>-25.370841741561801</v>
      </c>
      <c r="M4">
        <v>25.370841741561801</v>
      </c>
      <c r="N4" s="3">
        <v>1.4309142927848001E-6</v>
      </c>
      <c r="O4" s="2" t="s">
        <v>18</v>
      </c>
      <c r="P4" s="2" t="s">
        <v>21</v>
      </c>
      <c r="Q4" s="1" t="s">
        <v>18</v>
      </c>
      <c r="R4" s="1" t="s">
        <v>23</v>
      </c>
      <c r="T4">
        <f t="shared" si="0"/>
        <v>26.170841811846799</v>
      </c>
    </row>
    <row r="5" spans="1:24" x14ac:dyDescent="0.3">
      <c r="A5">
        <v>4</v>
      </c>
      <c r="B5">
        <v>4</v>
      </c>
      <c r="C5">
        <v>1773051047</v>
      </c>
      <c r="D5">
        <v>1773051096.6473801</v>
      </c>
      <c r="E5">
        <v>49.6473830083564</v>
      </c>
      <c r="F5">
        <v>1773051047</v>
      </c>
      <c r="G5">
        <v>1773051112</v>
      </c>
      <c r="H5">
        <v>65.260000000000005</v>
      </c>
      <c r="I5">
        <v>-15.612616991643501</v>
      </c>
      <c r="J5">
        <v>15.612616991643501</v>
      </c>
      <c r="K5">
        <v>27.1742625806875</v>
      </c>
      <c r="L5">
        <v>-15.3526170253753</v>
      </c>
      <c r="M5">
        <v>15.3526170253753</v>
      </c>
      <c r="N5" s="3">
        <v>8.6588688774604895E-7</v>
      </c>
      <c r="O5" s="2" t="s">
        <v>18</v>
      </c>
      <c r="P5" s="2" t="s">
        <v>21</v>
      </c>
      <c r="Q5" s="1" t="s">
        <v>18</v>
      </c>
      <c r="R5" s="1" t="s">
        <v>24</v>
      </c>
      <c r="T5">
        <f t="shared" si="0"/>
        <v>15.612616991643606</v>
      </c>
    </row>
    <row r="6" spans="1:24" x14ac:dyDescent="0.3">
      <c r="A6">
        <v>5</v>
      </c>
      <c r="B6">
        <v>3</v>
      </c>
      <c r="C6">
        <v>1773051096.6291499</v>
      </c>
      <c r="D6">
        <v>1773051146.2874</v>
      </c>
      <c r="E6">
        <v>49.658247738343597</v>
      </c>
      <c r="F6">
        <v>1773051085</v>
      </c>
      <c r="G6">
        <v>1773051138</v>
      </c>
      <c r="H6">
        <v>52.973999999999997</v>
      </c>
      <c r="I6">
        <v>-3.31575226165632</v>
      </c>
      <c r="J6">
        <v>3.31575226165632</v>
      </c>
      <c r="K6">
        <v>6.4614238404086999</v>
      </c>
      <c r="L6">
        <v>8.2874059677124006</v>
      </c>
      <c r="M6">
        <v>8.2874059677124006</v>
      </c>
      <c r="N6" s="3">
        <v>4.6740930200651298E-7</v>
      </c>
      <c r="O6" s="2" t="s">
        <v>21</v>
      </c>
      <c r="P6" s="2" t="s">
        <v>25</v>
      </c>
      <c r="Q6" s="1" t="s">
        <v>22</v>
      </c>
      <c r="R6" s="1" t="s">
        <v>26</v>
      </c>
      <c r="T6">
        <f t="shared" si="0"/>
        <v>3.3157522616563995</v>
      </c>
    </row>
    <row r="7" spans="1:24" x14ac:dyDescent="0.3">
      <c r="A7">
        <v>6</v>
      </c>
      <c r="B7">
        <v>2</v>
      </c>
      <c r="C7">
        <v>1773051096.6373401</v>
      </c>
      <c r="D7">
        <v>1773051146.2978899</v>
      </c>
      <c r="E7">
        <v>49.660553546592297</v>
      </c>
      <c r="F7">
        <v>1773051086</v>
      </c>
      <c r="G7">
        <v>1773051127</v>
      </c>
      <c r="H7">
        <v>40.587000000000003</v>
      </c>
      <c r="I7">
        <v>9.0735535465923807</v>
      </c>
      <c r="J7">
        <v>9.0735535465923807</v>
      </c>
      <c r="K7">
        <v>20.108142969012299</v>
      </c>
      <c r="L7">
        <v>19.297895908355699</v>
      </c>
      <c r="M7">
        <v>19.297895908355699</v>
      </c>
      <c r="N7" s="3">
        <v>1.08840041381031E-6</v>
      </c>
      <c r="O7" s="2" t="s">
        <v>21</v>
      </c>
      <c r="P7" s="2" t="s">
        <v>25</v>
      </c>
      <c r="Q7" s="1" t="s">
        <v>27</v>
      </c>
      <c r="R7" s="1" t="s">
        <v>28</v>
      </c>
      <c r="T7">
        <f t="shared" si="0"/>
        <v>-9.0735535465922936</v>
      </c>
    </row>
    <row r="8" spans="1:24" x14ac:dyDescent="0.3">
      <c r="A8">
        <v>7</v>
      </c>
      <c r="B8">
        <v>4</v>
      </c>
      <c r="C8">
        <v>1773051096.6473801</v>
      </c>
      <c r="D8">
        <v>1773051146.30163</v>
      </c>
      <c r="E8">
        <v>49.654248088950503</v>
      </c>
      <c r="F8">
        <v>1773051112</v>
      </c>
      <c r="G8">
        <v>1773051139</v>
      </c>
      <c r="H8">
        <v>27.202999999999999</v>
      </c>
      <c r="I8">
        <v>22.4512480889505</v>
      </c>
      <c r="J8">
        <v>22.4512480889505</v>
      </c>
      <c r="K8">
        <v>58.4232421722064</v>
      </c>
      <c r="L8">
        <v>7.30163097381591</v>
      </c>
      <c r="M8">
        <v>7.30163097381591</v>
      </c>
      <c r="N8" s="3">
        <v>4.1181163916679502E-7</v>
      </c>
      <c r="O8" s="2" t="s">
        <v>21</v>
      </c>
      <c r="P8" s="2" t="s">
        <v>25</v>
      </c>
      <c r="Q8" s="1" t="s">
        <v>24</v>
      </c>
      <c r="R8" s="1" t="s">
        <v>29</v>
      </c>
      <c r="T8">
        <f t="shared" si="0"/>
        <v>-22.451248088950504</v>
      </c>
    </row>
    <row r="9" spans="1:24" x14ac:dyDescent="0.3">
      <c r="A9">
        <v>8</v>
      </c>
      <c r="B9">
        <v>1</v>
      </c>
      <c r="C9">
        <v>1773051140.41768</v>
      </c>
      <c r="D9">
        <v>1773051225.43292</v>
      </c>
      <c r="E9">
        <v>85.015240384615396</v>
      </c>
      <c r="F9">
        <v>1773051122</v>
      </c>
      <c r="G9">
        <v>1773051157</v>
      </c>
      <c r="H9">
        <v>34.738999999999997</v>
      </c>
      <c r="I9">
        <v>50.276240384615399</v>
      </c>
      <c r="J9">
        <v>50.276240384615399</v>
      </c>
      <c r="K9">
        <v>83.965695449518705</v>
      </c>
      <c r="L9">
        <v>68.432929515838595</v>
      </c>
      <c r="M9">
        <v>68.432929515838595</v>
      </c>
      <c r="N9" s="3">
        <v>3.8596138597040604E-6</v>
      </c>
      <c r="O9" s="2" t="s">
        <v>19</v>
      </c>
      <c r="P9" s="2" t="s">
        <v>30</v>
      </c>
      <c r="Q9" s="1" t="s">
        <v>23</v>
      </c>
      <c r="R9" s="1" t="s">
        <v>31</v>
      </c>
      <c r="T9">
        <f t="shared" si="0"/>
        <v>-50.276240384615399</v>
      </c>
    </row>
    <row r="10" spans="1:24" x14ac:dyDescent="0.3">
      <c r="A10">
        <v>9</v>
      </c>
      <c r="B10">
        <v>3</v>
      </c>
      <c r="C10">
        <v>1773051146.2874</v>
      </c>
      <c r="D10">
        <v>1773051188.88064</v>
      </c>
      <c r="E10">
        <v>42.593236914600503</v>
      </c>
      <c r="F10">
        <v>1773051127</v>
      </c>
      <c r="G10">
        <v>1773051158</v>
      </c>
      <c r="H10">
        <v>30.835000000000001</v>
      </c>
      <c r="I10">
        <v>11.7582369146005</v>
      </c>
      <c r="J10">
        <v>11.7582369146005</v>
      </c>
      <c r="K10">
        <v>32.0264721275433</v>
      </c>
      <c r="L10">
        <v>30.880642890930101</v>
      </c>
      <c r="M10">
        <v>30.880642890930101</v>
      </c>
      <c r="N10" s="3">
        <v>1.7416667580446201E-6</v>
      </c>
      <c r="O10" s="2" t="s">
        <v>25</v>
      </c>
      <c r="P10" s="2" t="s">
        <v>32</v>
      </c>
      <c r="Q10" s="1" t="s">
        <v>28</v>
      </c>
      <c r="R10" s="1" t="s">
        <v>33</v>
      </c>
      <c r="T10">
        <f t="shared" si="0"/>
        <v>-11.758236914600502</v>
      </c>
    </row>
    <row r="11" spans="1:24" x14ac:dyDescent="0.3">
      <c r="A11">
        <v>10</v>
      </c>
      <c r="B11">
        <v>2</v>
      </c>
      <c r="C11">
        <v>1773051146.2978899</v>
      </c>
      <c r="D11">
        <v>1773051195.9365499</v>
      </c>
      <c r="E11">
        <v>49.6386569444443</v>
      </c>
      <c r="F11">
        <v>1773051138</v>
      </c>
      <c r="G11">
        <v>1773051177</v>
      </c>
      <c r="H11">
        <v>39.046999999999997</v>
      </c>
      <c r="I11">
        <v>10.591656944444299</v>
      </c>
      <c r="J11">
        <v>10.591656944444299</v>
      </c>
      <c r="K11">
        <v>23.8858397386159</v>
      </c>
      <c r="L11">
        <v>18.936552762985201</v>
      </c>
      <c r="M11">
        <v>18.936552762985201</v>
      </c>
      <c r="N11" s="3">
        <v>1.06802064754288E-6</v>
      </c>
      <c r="O11" s="2" t="s">
        <v>25</v>
      </c>
      <c r="P11" s="2" t="s">
        <v>34</v>
      </c>
      <c r="Q11" s="1" t="s">
        <v>26</v>
      </c>
      <c r="R11" s="1" t="s">
        <v>35</v>
      </c>
      <c r="T11">
        <f t="shared" si="0"/>
        <v>-10.591656944444303</v>
      </c>
    </row>
    <row r="12" spans="1:24" x14ac:dyDescent="0.3">
      <c r="A12">
        <v>11</v>
      </c>
      <c r="B12">
        <v>4</v>
      </c>
      <c r="C12">
        <v>1773051146.30163</v>
      </c>
      <c r="D12">
        <v>1773051195.93293</v>
      </c>
      <c r="E12">
        <v>49.631306731436403</v>
      </c>
      <c r="F12">
        <v>1773051138</v>
      </c>
      <c r="G12">
        <v>1773051183</v>
      </c>
      <c r="H12">
        <v>44.473999999999997</v>
      </c>
      <c r="I12">
        <v>5.1573067314363996</v>
      </c>
      <c r="J12">
        <v>5.1573067314363996</v>
      </c>
      <c r="K12">
        <v>10.9607139290341</v>
      </c>
      <c r="L12">
        <v>12.9329376220703</v>
      </c>
      <c r="M12">
        <v>12.9329376220703</v>
      </c>
      <c r="N12" s="3">
        <v>7.2941704666530103E-7</v>
      </c>
      <c r="O12" s="2" t="s">
        <v>25</v>
      </c>
      <c r="P12" s="2" t="s">
        <v>34</v>
      </c>
      <c r="Q12" s="1" t="s">
        <v>26</v>
      </c>
      <c r="R12" s="1" t="s">
        <v>36</v>
      </c>
      <c r="T12">
        <f t="shared" si="0"/>
        <v>-5.1573067314364067</v>
      </c>
    </row>
    <row r="13" spans="1:24" x14ac:dyDescent="0.3">
      <c r="A13">
        <v>12</v>
      </c>
      <c r="B13">
        <v>3</v>
      </c>
      <c r="C13">
        <v>1773051188.88064</v>
      </c>
      <c r="D13">
        <v>1773051231.44157</v>
      </c>
      <c r="E13">
        <v>42.560934065933999</v>
      </c>
      <c r="F13">
        <v>1773051157</v>
      </c>
      <c r="G13">
        <v>1773051185</v>
      </c>
      <c r="H13">
        <v>28.206</v>
      </c>
      <c r="I13">
        <v>14.354934065934</v>
      </c>
      <c r="J13">
        <v>14.354934065934</v>
      </c>
      <c r="K13">
        <v>40.569608547854997</v>
      </c>
      <c r="L13">
        <v>46.441576957702601</v>
      </c>
      <c r="M13">
        <v>46.441576957702601</v>
      </c>
      <c r="N13" s="3">
        <v>2.61930263166541E-6</v>
      </c>
      <c r="O13" s="2" t="s">
        <v>32</v>
      </c>
      <c r="P13" s="2" t="s">
        <v>37</v>
      </c>
      <c r="Q13" s="1" t="s">
        <v>31</v>
      </c>
      <c r="R13" s="1" t="s">
        <v>38</v>
      </c>
      <c r="T13">
        <f t="shared" si="0"/>
        <v>-14.354934065934</v>
      </c>
    </row>
    <row r="14" spans="1:24" x14ac:dyDescent="0.3">
      <c r="A14">
        <v>13</v>
      </c>
      <c r="B14">
        <v>4</v>
      </c>
      <c r="C14">
        <v>1773051195.93293</v>
      </c>
      <c r="D14">
        <v>1773051228.31217</v>
      </c>
      <c r="E14">
        <v>32.379241960183698</v>
      </c>
      <c r="F14">
        <v>1773051158</v>
      </c>
      <c r="G14">
        <v>1773051160</v>
      </c>
      <c r="H14">
        <v>2.5779999999999998</v>
      </c>
      <c r="I14">
        <v>29.801241960183699</v>
      </c>
      <c r="J14">
        <v>29.801241960183699</v>
      </c>
      <c r="K14">
        <v>170.50110528815301</v>
      </c>
      <c r="L14">
        <v>68.312179565429602</v>
      </c>
      <c r="M14">
        <v>68.312179565429602</v>
      </c>
      <c r="N14" s="3">
        <v>3.8528035620507701E-6</v>
      </c>
      <c r="O14" s="2" t="s">
        <v>34</v>
      </c>
      <c r="P14" s="2" t="s">
        <v>39</v>
      </c>
      <c r="Q14" s="1" t="s">
        <v>33</v>
      </c>
      <c r="R14" s="1" t="s">
        <v>40</v>
      </c>
      <c r="T14">
        <f t="shared" si="0"/>
        <v>-29.801241960183699</v>
      </c>
    </row>
    <row r="15" spans="1:24" x14ac:dyDescent="0.3">
      <c r="A15">
        <v>14</v>
      </c>
      <c r="B15">
        <v>2</v>
      </c>
      <c r="C15">
        <v>1773051195.9365499</v>
      </c>
      <c r="D15">
        <v>1773051238.4581499</v>
      </c>
      <c r="E15">
        <v>42.521605479451999</v>
      </c>
      <c r="F15">
        <v>1773051160</v>
      </c>
      <c r="G15">
        <v>1773051198</v>
      </c>
      <c r="H15">
        <v>38.183</v>
      </c>
      <c r="I15">
        <v>4.3386054794520197</v>
      </c>
      <c r="J15">
        <v>4.3386054794520197</v>
      </c>
      <c r="K15">
        <v>10.7518163397915</v>
      </c>
      <c r="L15">
        <v>40.458158254623399</v>
      </c>
      <c r="M15">
        <v>40.458158254623399</v>
      </c>
      <c r="N15" s="3">
        <v>2.28183810138507E-6</v>
      </c>
      <c r="O15" s="2" t="s">
        <v>34</v>
      </c>
      <c r="P15" s="2" t="s">
        <v>41</v>
      </c>
      <c r="Q15" s="1" t="s">
        <v>40</v>
      </c>
      <c r="R15" s="1" t="s">
        <v>42</v>
      </c>
      <c r="T15">
        <f t="shared" si="0"/>
        <v>-4.3386054794519993</v>
      </c>
    </row>
    <row r="16" spans="1:24" x14ac:dyDescent="0.3">
      <c r="A16">
        <v>15</v>
      </c>
      <c r="B16">
        <v>1</v>
      </c>
      <c r="C16">
        <v>1773051225.43292</v>
      </c>
      <c r="D16">
        <v>1773051267.9426799</v>
      </c>
      <c r="E16">
        <v>42.509751366120099</v>
      </c>
      <c r="F16">
        <v>1773051176</v>
      </c>
      <c r="G16">
        <v>1773051206</v>
      </c>
      <c r="H16">
        <v>29.25</v>
      </c>
      <c r="I16">
        <v>13.259751366120099</v>
      </c>
      <c r="J16">
        <v>13.259751366120099</v>
      </c>
      <c r="K16">
        <v>36.955956824511702</v>
      </c>
      <c r="L16">
        <v>61.942680835723799</v>
      </c>
      <c r="M16">
        <v>61.942680835723799</v>
      </c>
      <c r="N16" s="3">
        <v>3.4935640631306299E-6</v>
      </c>
      <c r="O16" s="2" t="s">
        <v>30</v>
      </c>
      <c r="P16" s="2" t="s">
        <v>43</v>
      </c>
      <c r="Q16" s="1" t="s">
        <v>44</v>
      </c>
      <c r="R16" s="1" t="s">
        <v>45</v>
      </c>
      <c r="T16">
        <f t="shared" si="0"/>
        <v>-13.259751366120099</v>
      </c>
    </row>
    <row r="17" spans="1:20" x14ac:dyDescent="0.3">
      <c r="A17">
        <v>16</v>
      </c>
      <c r="B17">
        <v>4</v>
      </c>
      <c r="C17">
        <v>1773051228.31217</v>
      </c>
      <c r="D17">
        <v>1773051277.9398999</v>
      </c>
      <c r="E17">
        <v>49.627730235783503</v>
      </c>
      <c r="F17">
        <v>1773051183</v>
      </c>
      <c r="G17">
        <v>1773051218</v>
      </c>
      <c r="H17">
        <v>34.893000000000001</v>
      </c>
      <c r="I17">
        <v>14.7347302357835</v>
      </c>
      <c r="J17">
        <v>14.7347302357835</v>
      </c>
      <c r="K17">
        <v>34.866547401279497</v>
      </c>
      <c r="L17">
        <v>59.939909696578901</v>
      </c>
      <c r="M17">
        <v>59.939909696578901</v>
      </c>
      <c r="N17" s="3">
        <v>3.3806078513075599E-6</v>
      </c>
      <c r="O17" s="2" t="s">
        <v>39</v>
      </c>
      <c r="P17" s="2" t="s">
        <v>46</v>
      </c>
      <c r="Q17" s="1" t="s">
        <v>36</v>
      </c>
      <c r="R17" s="1" t="s">
        <v>47</v>
      </c>
      <c r="T17">
        <f t="shared" si="0"/>
        <v>-14.734730235783502</v>
      </c>
    </row>
    <row r="18" spans="1:20" x14ac:dyDescent="0.3">
      <c r="A18">
        <v>17</v>
      </c>
      <c r="B18">
        <v>3</v>
      </c>
      <c r="C18">
        <v>1773051231.44157</v>
      </c>
      <c r="D18">
        <v>1773051273.91519</v>
      </c>
      <c r="E18">
        <v>42.473621253405902</v>
      </c>
      <c r="F18">
        <v>1773051185</v>
      </c>
      <c r="G18">
        <v>1773051219</v>
      </c>
      <c r="H18">
        <v>33.551000000000002</v>
      </c>
      <c r="I18">
        <v>8.9226212534059606</v>
      </c>
      <c r="J18">
        <v>8.9226212534059606</v>
      </c>
      <c r="K18">
        <v>23.4729778492812</v>
      </c>
      <c r="L18">
        <v>54.915198326110797</v>
      </c>
      <c r="M18">
        <v>54.915198326110797</v>
      </c>
      <c r="N18" s="3">
        <v>3.0972143888015899E-6</v>
      </c>
      <c r="O18" s="2" t="s">
        <v>37</v>
      </c>
      <c r="P18" s="2" t="s">
        <v>48</v>
      </c>
      <c r="Q18" s="1" t="s">
        <v>38</v>
      </c>
      <c r="R18" s="1" t="s">
        <v>49</v>
      </c>
      <c r="T18">
        <f t="shared" si="0"/>
        <v>-8.9226212534059002</v>
      </c>
    </row>
    <row r="19" spans="1:20" x14ac:dyDescent="0.3">
      <c r="A19">
        <v>18</v>
      </c>
      <c r="B19">
        <v>2</v>
      </c>
      <c r="C19">
        <v>1773051238.4581499</v>
      </c>
      <c r="D19">
        <v>1773051288.07567</v>
      </c>
      <c r="E19">
        <v>49.617519057518898</v>
      </c>
      <c r="F19">
        <v>1773051198</v>
      </c>
      <c r="G19">
        <v>1773051232</v>
      </c>
      <c r="H19">
        <v>33.956000000000003</v>
      </c>
      <c r="I19">
        <v>15.6615190575189</v>
      </c>
      <c r="J19">
        <v>15.6615190575189</v>
      </c>
      <c r="K19">
        <v>37.479620899390397</v>
      </c>
      <c r="L19">
        <v>56.075677394866901</v>
      </c>
      <c r="M19">
        <v>56.075677394866901</v>
      </c>
      <c r="N19" s="3">
        <v>3.16266532495344E-6</v>
      </c>
      <c r="O19" s="2" t="s">
        <v>41</v>
      </c>
      <c r="P19" s="2" t="s">
        <v>50</v>
      </c>
      <c r="Q19" s="1" t="s">
        <v>42</v>
      </c>
      <c r="R19" s="1" t="s">
        <v>51</v>
      </c>
      <c r="T19">
        <f t="shared" si="0"/>
        <v>-15.661519057518895</v>
      </c>
    </row>
    <row r="20" spans="1:20" x14ac:dyDescent="0.3">
      <c r="A20">
        <v>19</v>
      </c>
      <c r="B20">
        <v>1</v>
      </c>
      <c r="C20">
        <v>1773051267.9426799</v>
      </c>
      <c r="D20">
        <v>1773051317.54935</v>
      </c>
      <c r="E20">
        <v>49.606673130193798</v>
      </c>
      <c r="F20">
        <v>1773051206</v>
      </c>
      <c r="G20">
        <v>1773051326</v>
      </c>
      <c r="H20">
        <v>120.52</v>
      </c>
      <c r="I20">
        <v>-70.913326869806099</v>
      </c>
      <c r="J20">
        <v>70.913326869806099</v>
      </c>
      <c r="K20">
        <v>83.365324866533896</v>
      </c>
      <c r="L20">
        <v>-8.4506459236145002</v>
      </c>
      <c r="M20">
        <v>8.4506459236145002</v>
      </c>
      <c r="N20" s="3">
        <v>4.76615979460544E-7</v>
      </c>
      <c r="O20" s="2" t="s">
        <v>43</v>
      </c>
      <c r="P20" s="2" t="s">
        <v>52</v>
      </c>
      <c r="Q20" s="1" t="s">
        <v>45</v>
      </c>
      <c r="R20" s="1" t="s">
        <v>53</v>
      </c>
      <c r="T20">
        <f t="shared" si="0"/>
        <v>70.913326869806198</v>
      </c>
    </row>
    <row r="21" spans="1:20" x14ac:dyDescent="0.3">
      <c r="A21">
        <v>20</v>
      </c>
      <c r="B21">
        <v>3</v>
      </c>
      <c r="C21">
        <v>1773051273.91519</v>
      </c>
      <c r="D21">
        <v>1773051358.4516101</v>
      </c>
      <c r="E21">
        <v>84.536419047619006</v>
      </c>
      <c r="F21">
        <v>1773051218</v>
      </c>
      <c r="G21">
        <v>1773051248</v>
      </c>
      <c r="H21">
        <v>30.582999999999998</v>
      </c>
      <c r="I21">
        <v>53.953419047619001</v>
      </c>
      <c r="J21">
        <v>53.953419047619001</v>
      </c>
      <c r="K21">
        <v>93.734696533347204</v>
      </c>
      <c r="L21">
        <v>110.451617479324</v>
      </c>
      <c r="M21">
        <v>110.451617479324</v>
      </c>
      <c r="N21" s="3">
        <v>6.2294654011631601E-6</v>
      </c>
      <c r="O21" s="2" t="s">
        <v>48</v>
      </c>
      <c r="P21" s="2" t="s">
        <v>54</v>
      </c>
      <c r="Q21" s="1" t="s">
        <v>47</v>
      </c>
      <c r="R21" s="1" t="s">
        <v>55</v>
      </c>
      <c r="T21">
        <f t="shared" si="0"/>
        <v>-53.953419047619008</v>
      </c>
    </row>
    <row r="22" spans="1:20" x14ac:dyDescent="0.3">
      <c r="A22">
        <v>21</v>
      </c>
      <c r="B22">
        <v>4</v>
      </c>
      <c r="C22">
        <v>1773051277.9398999</v>
      </c>
      <c r="D22">
        <v>1773051327.59565</v>
      </c>
      <c r="E22">
        <v>49.655748096885702</v>
      </c>
      <c r="F22">
        <v>1773051219</v>
      </c>
      <c r="G22">
        <v>1773051255</v>
      </c>
      <c r="H22">
        <v>35.950000000000003</v>
      </c>
      <c r="I22">
        <v>13.705748096885699</v>
      </c>
      <c r="J22">
        <v>13.705748096885699</v>
      </c>
      <c r="K22">
        <v>32.020625721006503</v>
      </c>
      <c r="L22">
        <v>72.5956578254699</v>
      </c>
      <c r="M22">
        <v>72.5956578254699</v>
      </c>
      <c r="N22" s="3">
        <v>4.0943913005659098E-6</v>
      </c>
      <c r="O22" s="2" t="s">
        <v>46</v>
      </c>
      <c r="P22" s="2" t="s">
        <v>56</v>
      </c>
      <c r="Q22" s="1" t="s">
        <v>49</v>
      </c>
      <c r="R22" s="1" t="s">
        <v>57</v>
      </c>
      <c r="T22">
        <f t="shared" si="0"/>
        <v>-13.705748096885699</v>
      </c>
    </row>
    <row r="23" spans="1:20" x14ac:dyDescent="0.3">
      <c r="A23">
        <v>22</v>
      </c>
      <c r="B23">
        <v>2</v>
      </c>
      <c r="C23">
        <v>1773051288.07567</v>
      </c>
      <c r="D23">
        <v>1773051337.72194</v>
      </c>
      <c r="E23">
        <v>49.646269709543397</v>
      </c>
      <c r="F23">
        <v>1773051232</v>
      </c>
      <c r="G23">
        <v>1773051259</v>
      </c>
      <c r="H23">
        <v>26.917999999999999</v>
      </c>
      <c r="I23">
        <v>22.728269709543401</v>
      </c>
      <c r="J23">
        <v>22.728269709543401</v>
      </c>
      <c r="K23">
        <v>59.370434265920899</v>
      </c>
      <c r="L23">
        <v>78.721947193145695</v>
      </c>
      <c r="M23">
        <v>78.721947193145695</v>
      </c>
      <c r="N23" s="3">
        <v>4.4399136824702701E-6</v>
      </c>
      <c r="O23" s="2" t="s">
        <v>50</v>
      </c>
      <c r="P23" s="2" t="s">
        <v>58</v>
      </c>
      <c r="Q23" s="1" t="s">
        <v>51</v>
      </c>
      <c r="R23" s="1" t="s">
        <v>59</v>
      </c>
      <c r="T23">
        <f t="shared" si="0"/>
        <v>-22.728269709543397</v>
      </c>
    </row>
    <row r="24" spans="1:20" x14ac:dyDescent="0.3">
      <c r="A24">
        <v>23</v>
      </c>
      <c r="B24">
        <v>1</v>
      </c>
      <c r="C24">
        <v>1773051317.54935</v>
      </c>
      <c r="D24">
        <v>1773051367.1799099</v>
      </c>
      <c r="E24">
        <v>49.630562543192703</v>
      </c>
      <c r="F24">
        <v>1773051248</v>
      </c>
      <c r="G24">
        <v>1773051329</v>
      </c>
      <c r="H24">
        <v>80.146000000000001</v>
      </c>
      <c r="I24">
        <v>-30.515437456807199</v>
      </c>
      <c r="J24">
        <v>30.515437456807199</v>
      </c>
      <c r="K24">
        <v>47.027655624105499</v>
      </c>
      <c r="L24">
        <v>38.179916620254502</v>
      </c>
      <c r="M24">
        <v>38.179916620254502</v>
      </c>
      <c r="N24" s="3">
        <v>2.1533452294759701E-6</v>
      </c>
      <c r="O24" s="2" t="s">
        <v>52</v>
      </c>
      <c r="P24" s="2" t="s">
        <v>60</v>
      </c>
      <c r="Q24" s="1" t="s">
        <v>55</v>
      </c>
      <c r="R24" s="1" t="s">
        <v>61</v>
      </c>
      <c r="T24">
        <f t="shared" si="0"/>
        <v>30.515437456807298</v>
      </c>
    </row>
    <row r="25" spans="1:20" x14ac:dyDescent="0.3">
      <c r="A25">
        <v>24</v>
      </c>
      <c r="B25">
        <v>4</v>
      </c>
      <c r="C25">
        <v>1773051327.59565</v>
      </c>
      <c r="D25">
        <v>1773051377.2472899</v>
      </c>
      <c r="E25">
        <v>49.651636740331398</v>
      </c>
      <c r="F25">
        <v>1773051255</v>
      </c>
      <c r="G25">
        <v>1773051348</v>
      </c>
      <c r="H25">
        <v>92.787999999999997</v>
      </c>
      <c r="I25">
        <v>-43.136363259668599</v>
      </c>
      <c r="J25">
        <v>43.136363259668599</v>
      </c>
      <c r="K25">
        <v>60.567920905761</v>
      </c>
      <c r="L25">
        <v>29.247294664382899</v>
      </c>
      <c r="M25">
        <v>29.247294664382899</v>
      </c>
      <c r="N25" s="3">
        <v>1.64954582145351E-6</v>
      </c>
      <c r="O25" s="2" t="s">
        <v>56</v>
      </c>
      <c r="P25" s="2" t="s">
        <v>62</v>
      </c>
      <c r="Q25" s="1" t="s">
        <v>57</v>
      </c>
      <c r="R25" s="1" t="s">
        <v>63</v>
      </c>
      <c r="T25">
        <f t="shared" si="0"/>
        <v>43.136363259668599</v>
      </c>
    </row>
    <row r="26" spans="1:20" x14ac:dyDescent="0.3">
      <c r="A26">
        <v>25</v>
      </c>
      <c r="B26">
        <v>2</v>
      </c>
      <c r="C26">
        <v>1773051337.72194</v>
      </c>
      <c r="D26">
        <v>1773051387.4033501</v>
      </c>
      <c r="E26">
        <v>49.681406487232401</v>
      </c>
      <c r="F26">
        <v>1773051259</v>
      </c>
      <c r="G26">
        <v>1773051389</v>
      </c>
      <c r="H26">
        <v>130.32300000000001</v>
      </c>
      <c r="I26">
        <v>-80.6415935127675</v>
      </c>
      <c r="J26">
        <v>80.6415935127675</v>
      </c>
      <c r="K26">
        <v>89.599577128671399</v>
      </c>
      <c r="L26">
        <v>-1.59664630889892</v>
      </c>
      <c r="M26">
        <v>1.59664630889892</v>
      </c>
      <c r="N26" s="3">
        <v>9.0050763306884699E-8</v>
      </c>
      <c r="O26" s="2" t="s">
        <v>58</v>
      </c>
      <c r="P26" s="2" t="s">
        <v>64</v>
      </c>
      <c r="Q26" s="1" t="s">
        <v>59</v>
      </c>
      <c r="R26" s="1" t="s">
        <v>65</v>
      </c>
      <c r="T26">
        <f t="shared" si="0"/>
        <v>80.641593512767599</v>
      </c>
    </row>
    <row r="27" spans="1:20" x14ac:dyDescent="0.3">
      <c r="A27">
        <v>26</v>
      </c>
      <c r="B27">
        <v>3</v>
      </c>
      <c r="C27">
        <v>1773051358.4516101</v>
      </c>
      <c r="D27">
        <v>1773051400.90099</v>
      </c>
      <c r="E27">
        <v>42.449374999999897</v>
      </c>
      <c r="F27">
        <v>1773051326</v>
      </c>
      <c r="G27">
        <v>1773051358</v>
      </c>
      <c r="H27">
        <v>32.110999999999997</v>
      </c>
      <c r="I27">
        <v>10.3383749999999</v>
      </c>
      <c r="J27">
        <v>10.3383749999999</v>
      </c>
      <c r="K27">
        <v>27.731553120541498</v>
      </c>
      <c r="L27">
        <v>42.900992393493603</v>
      </c>
      <c r="M27">
        <v>42.900992393493603</v>
      </c>
      <c r="N27" s="3">
        <v>2.4196136045865401E-6</v>
      </c>
      <c r="O27" s="2" t="s">
        <v>54</v>
      </c>
      <c r="P27" s="2" t="s">
        <v>66</v>
      </c>
      <c r="Q27" s="1" t="s">
        <v>53</v>
      </c>
      <c r="R27" s="1" t="s">
        <v>54</v>
      </c>
      <c r="T27">
        <f t="shared" si="0"/>
        <v>-10.3383749999999</v>
      </c>
    </row>
    <row r="28" spans="1:20" x14ac:dyDescent="0.3">
      <c r="A28">
        <v>27</v>
      </c>
      <c r="B28">
        <v>1</v>
      </c>
      <c r="C28">
        <v>1773051367.1799099</v>
      </c>
      <c r="D28">
        <v>1773051416.91693</v>
      </c>
      <c r="E28">
        <v>49.7370213793102</v>
      </c>
      <c r="F28">
        <v>1773051328</v>
      </c>
      <c r="G28">
        <v>1773051359</v>
      </c>
      <c r="H28">
        <v>31.187999999999999</v>
      </c>
      <c r="I28">
        <v>18.549021379310201</v>
      </c>
      <c r="J28">
        <v>18.549021379310201</v>
      </c>
      <c r="K28">
        <v>45.842487436284003</v>
      </c>
      <c r="L28">
        <v>57.916938066482501</v>
      </c>
      <c r="M28">
        <v>57.916938066482501</v>
      </c>
      <c r="N28" s="3">
        <v>3.2665120965935099E-6</v>
      </c>
      <c r="O28" s="2" t="s">
        <v>60</v>
      </c>
      <c r="P28" s="2" t="s">
        <v>67</v>
      </c>
      <c r="Q28" s="1" t="s">
        <v>56</v>
      </c>
      <c r="R28" s="1" t="s">
        <v>68</v>
      </c>
      <c r="T28">
        <f t="shared" si="0"/>
        <v>-18.549021379310201</v>
      </c>
    </row>
    <row r="29" spans="1:20" x14ac:dyDescent="0.3">
      <c r="A29">
        <v>28</v>
      </c>
      <c r="B29">
        <v>4</v>
      </c>
      <c r="C29">
        <v>1773051377.2472899</v>
      </c>
      <c r="D29">
        <v>1773051426.97153</v>
      </c>
      <c r="E29">
        <v>49.724237767057097</v>
      </c>
      <c r="F29">
        <v>1773051347</v>
      </c>
      <c r="G29">
        <v>1773051418</v>
      </c>
      <c r="H29">
        <v>70.463999999999999</v>
      </c>
      <c r="I29">
        <v>-20.739762232942802</v>
      </c>
      <c r="J29">
        <v>20.739762232942802</v>
      </c>
      <c r="K29">
        <v>34.512132997805701</v>
      </c>
      <c r="L29">
        <v>8.9715323448181099</v>
      </c>
      <c r="M29">
        <v>8.9715323448181099</v>
      </c>
      <c r="N29" s="3">
        <v>5.0599391709915999E-7</v>
      </c>
      <c r="O29" s="2" t="s">
        <v>62</v>
      </c>
      <c r="P29" s="2" t="s">
        <v>69</v>
      </c>
      <c r="Q29" s="1" t="s">
        <v>70</v>
      </c>
      <c r="R29" s="1" t="s">
        <v>71</v>
      </c>
      <c r="T29">
        <f t="shared" si="0"/>
        <v>20.739762232942901</v>
      </c>
    </row>
    <row r="30" spans="1:20" x14ac:dyDescent="0.3">
      <c r="A30">
        <v>29</v>
      </c>
      <c r="B30">
        <v>2</v>
      </c>
      <c r="C30">
        <v>1773051387.4033501</v>
      </c>
      <c r="D30">
        <v>1773051437.14187</v>
      </c>
      <c r="E30">
        <v>49.738521349862097</v>
      </c>
      <c r="F30">
        <v>1773051358</v>
      </c>
      <c r="G30">
        <v>1773051563</v>
      </c>
      <c r="H30">
        <v>204.852</v>
      </c>
      <c r="I30">
        <v>-155.11347865013701</v>
      </c>
      <c r="J30">
        <v>155.11347865013701</v>
      </c>
      <c r="K30">
        <v>121.853302179289</v>
      </c>
      <c r="L30">
        <v>-125.858124971389</v>
      </c>
      <c r="M30">
        <v>125.858124971389</v>
      </c>
      <c r="N30" s="3">
        <v>7.0983908231855798E-6</v>
      </c>
      <c r="O30" s="2" t="s">
        <v>64</v>
      </c>
      <c r="P30" s="2" t="s">
        <v>72</v>
      </c>
      <c r="Q30" s="1" t="s">
        <v>54</v>
      </c>
      <c r="R30" s="1" t="s">
        <v>73</v>
      </c>
      <c r="T30">
        <f t="shared" si="0"/>
        <v>155.11347865013789</v>
      </c>
    </row>
    <row r="31" spans="1:20" x14ac:dyDescent="0.3">
      <c r="A31">
        <v>30</v>
      </c>
      <c r="B31">
        <v>3</v>
      </c>
      <c r="C31">
        <v>1773051400.90099</v>
      </c>
      <c r="D31">
        <v>1773051450.7462599</v>
      </c>
      <c r="E31">
        <v>49.845275292498101</v>
      </c>
      <c r="F31">
        <v>1773051359</v>
      </c>
      <c r="G31">
        <v>1773051392</v>
      </c>
      <c r="H31">
        <v>32.878</v>
      </c>
      <c r="I31">
        <v>16.967275292498101</v>
      </c>
      <c r="J31">
        <v>16.967275292498101</v>
      </c>
      <c r="K31">
        <v>41.021768619543202</v>
      </c>
      <c r="L31">
        <v>58.746267795562702</v>
      </c>
      <c r="M31">
        <v>58.746267795562702</v>
      </c>
      <c r="N31" s="3">
        <v>3.3132861849018902E-6</v>
      </c>
      <c r="O31" s="2" t="s">
        <v>66</v>
      </c>
      <c r="P31" s="2" t="s">
        <v>74</v>
      </c>
      <c r="Q31" s="1" t="s">
        <v>68</v>
      </c>
      <c r="R31" s="1" t="s">
        <v>75</v>
      </c>
      <c r="T31">
        <f t="shared" si="0"/>
        <v>-16.967275292498101</v>
      </c>
    </row>
    <row r="32" spans="1:20" x14ac:dyDescent="0.3">
      <c r="A32">
        <v>31</v>
      </c>
      <c r="B32">
        <v>1</v>
      </c>
      <c r="C32">
        <v>1773051416.91693</v>
      </c>
      <c r="D32">
        <v>1773051466.75054</v>
      </c>
      <c r="E32">
        <v>49.8336059147179</v>
      </c>
      <c r="F32">
        <v>1773051389</v>
      </c>
      <c r="G32">
        <v>1773051482</v>
      </c>
      <c r="H32">
        <v>92.933000000000007</v>
      </c>
      <c r="I32">
        <v>-43.099394085282</v>
      </c>
      <c r="J32">
        <v>43.099394085282</v>
      </c>
      <c r="K32">
        <v>60.377416426118003</v>
      </c>
      <c r="L32">
        <v>-15.2494559288024</v>
      </c>
      <c r="M32">
        <v>15.2494559288024</v>
      </c>
      <c r="N32" s="3">
        <v>8.6006842718289205E-7</v>
      </c>
      <c r="O32" s="2" t="s">
        <v>67</v>
      </c>
      <c r="P32" s="2" t="s">
        <v>76</v>
      </c>
      <c r="Q32" s="1" t="s">
        <v>65</v>
      </c>
      <c r="R32" s="1" t="s">
        <v>77</v>
      </c>
      <c r="T32">
        <f t="shared" si="0"/>
        <v>43.099394085282107</v>
      </c>
    </row>
    <row r="33" spans="1:20" x14ac:dyDescent="0.3">
      <c r="A33">
        <v>32</v>
      </c>
      <c r="B33">
        <v>4</v>
      </c>
      <c r="C33">
        <v>1773051426.97153</v>
      </c>
      <c r="D33">
        <v>1773051469.39289</v>
      </c>
      <c r="E33">
        <v>42.421357723577202</v>
      </c>
      <c r="F33">
        <v>1773051392</v>
      </c>
      <c r="G33">
        <v>1773051473</v>
      </c>
      <c r="H33">
        <v>80.352999999999994</v>
      </c>
      <c r="I33">
        <v>-37.9316422764227</v>
      </c>
      <c r="J33">
        <v>37.9316422764227</v>
      </c>
      <c r="K33">
        <v>61.790821763978997</v>
      </c>
      <c r="L33">
        <v>-3.6071100234985298</v>
      </c>
      <c r="M33">
        <v>3.6071100234985298</v>
      </c>
      <c r="N33" s="3">
        <v>2.03440795831182E-7</v>
      </c>
      <c r="O33" s="2" t="s">
        <v>69</v>
      </c>
      <c r="P33" s="2" t="s">
        <v>78</v>
      </c>
      <c r="Q33" s="1" t="s">
        <v>75</v>
      </c>
      <c r="R33" s="1" t="s">
        <v>79</v>
      </c>
      <c r="T33">
        <f t="shared" si="0"/>
        <v>37.931642276422792</v>
      </c>
    </row>
    <row r="34" spans="1:20" x14ac:dyDescent="0.3">
      <c r="A34">
        <v>33</v>
      </c>
      <c r="B34">
        <v>2</v>
      </c>
      <c r="C34">
        <v>1773051437.14187</v>
      </c>
      <c r="D34">
        <v>1773051479.66575</v>
      </c>
      <c r="E34">
        <v>42.523875675675598</v>
      </c>
      <c r="F34">
        <v>1773051418</v>
      </c>
      <c r="G34">
        <v>1773051449</v>
      </c>
      <c r="H34">
        <v>30.995999999999999</v>
      </c>
      <c r="I34">
        <v>11.527875675675601</v>
      </c>
      <c r="J34">
        <v>11.527875675675601</v>
      </c>
      <c r="K34">
        <v>31.3598889272596</v>
      </c>
      <c r="L34">
        <v>30.6657507419586</v>
      </c>
      <c r="M34">
        <v>30.6657507419586</v>
      </c>
      <c r="N34" s="3">
        <v>1.72954656753276E-6</v>
      </c>
      <c r="O34" s="2" t="s">
        <v>72</v>
      </c>
      <c r="P34" s="2" t="s">
        <v>80</v>
      </c>
      <c r="Q34" s="1" t="s">
        <v>71</v>
      </c>
      <c r="R34" s="1" t="s">
        <v>81</v>
      </c>
      <c r="T34">
        <f t="shared" si="0"/>
        <v>-11.527875675675599</v>
      </c>
    </row>
    <row r="35" spans="1:20" x14ac:dyDescent="0.3">
      <c r="A35">
        <v>34</v>
      </c>
      <c r="B35">
        <v>3</v>
      </c>
      <c r="C35">
        <v>1773051450.7462599</v>
      </c>
      <c r="D35">
        <v>1773051500.6094899</v>
      </c>
      <c r="E35">
        <v>49.8632274914088</v>
      </c>
      <c r="F35">
        <v>1773051449</v>
      </c>
      <c r="G35">
        <v>1773051483</v>
      </c>
      <c r="H35">
        <v>34.664000000000001</v>
      </c>
      <c r="I35">
        <v>15.1992274914088</v>
      </c>
      <c r="J35">
        <v>15.1992274914088</v>
      </c>
      <c r="K35">
        <v>35.962915009731397</v>
      </c>
      <c r="L35">
        <v>17.6094954013824</v>
      </c>
      <c r="M35">
        <v>17.6094954013824</v>
      </c>
      <c r="N35" s="3">
        <v>9.9317450636800991E-7</v>
      </c>
      <c r="O35" s="2" t="s">
        <v>74</v>
      </c>
      <c r="P35" s="2" t="s">
        <v>82</v>
      </c>
      <c r="Q35" s="1" t="s">
        <v>81</v>
      </c>
      <c r="R35" s="1" t="s">
        <v>83</v>
      </c>
      <c r="T35">
        <f t="shared" si="0"/>
        <v>-15.199227491408799</v>
      </c>
    </row>
    <row r="36" spans="1:20" x14ac:dyDescent="0.3">
      <c r="A36">
        <v>35</v>
      </c>
      <c r="B36">
        <v>1</v>
      </c>
      <c r="C36">
        <v>1773051466.75054</v>
      </c>
      <c r="D36">
        <v>1773051509.24334</v>
      </c>
      <c r="E36">
        <v>42.492803234501302</v>
      </c>
      <c r="F36">
        <v>1773051472</v>
      </c>
      <c r="G36">
        <v>1773051501</v>
      </c>
      <c r="H36">
        <v>28.068000000000001</v>
      </c>
      <c r="I36">
        <v>14.424803234501301</v>
      </c>
      <c r="J36">
        <v>14.424803234501301</v>
      </c>
      <c r="K36">
        <v>40.886165047078599</v>
      </c>
      <c r="L36">
        <v>8.2433474063873202</v>
      </c>
      <c r="M36">
        <v>8.2433474063873202</v>
      </c>
      <c r="N36" s="3">
        <v>4.64924306066429E-7</v>
      </c>
      <c r="O36" s="2" t="s">
        <v>76</v>
      </c>
      <c r="P36" s="2" t="s">
        <v>84</v>
      </c>
      <c r="Q36" s="1" t="s">
        <v>85</v>
      </c>
      <c r="R36" s="1" t="s">
        <v>82</v>
      </c>
      <c r="T36">
        <f t="shared" si="0"/>
        <v>-14.424803234501301</v>
      </c>
    </row>
    <row r="37" spans="1:20" x14ac:dyDescent="0.3">
      <c r="A37">
        <v>36</v>
      </c>
      <c r="B37">
        <v>4</v>
      </c>
      <c r="C37">
        <v>1773051469.39289</v>
      </c>
      <c r="D37">
        <v>1773051553.42031</v>
      </c>
      <c r="E37">
        <v>84.027424528301907</v>
      </c>
      <c r="F37">
        <v>1773051482</v>
      </c>
      <c r="G37">
        <v>1773051515</v>
      </c>
      <c r="H37">
        <v>33.451999999999998</v>
      </c>
      <c r="I37">
        <v>50.575424528301902</v>
      </c>
      <c r="J37">
        <v>50.575424528301902</v>
      </c>
      <c r="K37">
        <v>86.100906148238394</v>
      </c>
      <c r="L37">
        <v>38.420314550399702</v>
      </c>
      <c r="M37">
        <v>38.420314550399702</v>
      </c>
      <c r="N37" s="3">
        <v>2.1669034322521699E-6</v>
      </c>
      <c r="O37" s="2" t="s">
        <v>78</v>
      </c>
      <c r="P37" s="2" t="s">
        <v>86</v>
      </c>
      <c r="Q37" s="1" t="s">
        <v>77</v>
      </c>
      <c r="R37" s="1" t="s">
        <v>87</v>
      </c>
      <c r="T37">
        <f t="shared" si="0"/>
        <v>-50.575424528301909</v>
      </c>
    </row>
    <row r="38" spans="1:20" x14ac:dyDescent="0.3">
      <c r="A38">
        <v>37</v>
      </c>
      <c r="B38">
        <v>2</v>
      </c>
      <c r="C38">
        <v>1773051479.66575</v>
      </c>
      <c r="D38">
        <v>1773051529.5185299</v>
      </c>
      <c r="E38">
        <v>49.852788461538303</v>
      </c>
      <c r="F38">
        <v>1773051483</v>
      </c>
      <c r="G38">
        <v>1773051543</v>
      </c>
      <c r="H38">
        <v>59.23</v>
      </c>
      <c r="I38">
        <v>-9.3772115384616299</v>
      </c>
      <c r="J38">
        <v>9.3772115384616299</v>
      </c>
      <c r="K38">
        <v>17.1928343063359</v>
      </c>
      <c r="L38">
        <v>-13.481460809707601</v>
      </c>
      <c r="M38">
        <v>13.481460809707601</v>
      </c>
      <c r="N38" s="3">
        <v>7.6035357878826295E-7</v>
      </c>
      <c r="O38" s="2" t="s">
        <v>80</v>
      </c>
      <c r="P38" s="2" t="s">
        <v>88</v>
      </c>
      <c r="Q38" s="1" t="s">
        <v>83</v>
      </c>
      <c r="R38" s="1" t="s">
        <v>89</v>
      </c>
      <c r="T38">
        <f t="shared" si="0"/>
        <v>9.3772115384616939</v>
      </c>
    </row>
    <row r="39" spans="1:20" x14ac:dyDescent="0.3">
      <c r="A39">
        <v>38</v>
      </c>
      <c r="B39">
        <v>3</v>
      </c>
      <c r="C39">
        <v>1773051500.6094899</v>
      </c>
      <c r="D39">
        <v>1773051557.37673</v>
      </c>
      <c r="E39">
        <v>56.767243355481597</v>
      </c>
      <c r="F39">
        <v>1773051501</v>
      </c>
      <c r="G39">
        <v>1773051564</v>
      </c>
      <c r="H39">
        <v>63.006999999999998</v>
      </c>
      <c r="I39">
        <v>-6.2397566445183896</v>
      </c>
      <c r="J39">
        <v>6.2397566445183896</v>
      </c>
      <c r="K39">
        <v>10.4191960971095</v>
      </c>
      <c r="L39">
        <v>-6.6232612133026096</v>
      </c>
      <c r="M39">
        <v>6.6232612133026096</v>
      </c>
      <c r="N39" s="3">
        <v>3.7355152890935598E-7</v>
      </c>
      <c r="O39" s="2" t="s">
        <v>82</v>
      </c>
      <c r="P39" s="2" t="s">
        <v>90</v>
      </c>
      <c r="Q39" s="1" t="s">
        <v>82</v>
      </c>
      <c r="R39" s="1" t="s">
        <v>91</v>
      </c>
      <c r="T39">
        <f t="shared" si="0"/>
        <v>6.2397566445184012</v>
      </c>
    </row>
    <row r="40" spans="1:20" x14ac:dyDescent="0.3">
      <c r="A40">
        <v>39</v>
      </c>
      <c r="B40">
        <v>1</v>
      </c>
      <c r="C40">
        <v>1773051509.24334</v>
      </c>
      <c r="D40">
        <v>1773051566.0157599</v>
      </c>
      <c r="E40">
        <v>56.7724215767633</v>
      </c>
      <c r="F40">
        <v>1773051515</v>
      </c>
      <c r="G40">
        <v>1773051563</v>
      </c>
      <c r="H40">
        <v>48.828000000000003</v>
      </c>
      <c r="I40">
        <v>7.9444215767633599</v>
      </c>
      <c r="J40">
        <v>7.9444215767633599</v>
      </c>
      <c r="K40">
        <v>15.046192918819701</v>
      </c>
      <c r="L40">
        <v>3.0157690048217698</v>
      </c>
      <c r="M40">
        <v>3.0157690048217698</v>
      </c>
      <c r="N40" s="3">
        <v>1.70089187770397E-7</v>
      </c>
      <c r="O40" s="2" t="s">
        <v>84</v>
      </c>
      <c r="P40" s="2" t="s">
        <v>92</v>
      </c>
      <c r="Q40" s="1" t="s">
        <v>87</v>
      </c>
      <c r="R40" s="1" t="s">
        <v>73</v>
      </c>
      <c r="T40">
        <f t="shared" si="0"/>
        <v>-7.9444215767632969</v>
      </c>
    </row>
    <row r="41" spans="1:20" x14ac:dyDescent="0.3">
      <c r="A41">
        <v>40</v>
      </c>
      <c r="B41">
        <v>2</v>
      </c>
      <c r="C41">
        <v>1773051529.5185299</v>
      </c>
      <c r="D41">
        <v>1773051571.9725599</v>
      </c>
      <c r="E41">
        <v>42.454026881720402</v>
      </c>
      <c r="F41">
        <v>1773051543</v>
      </c>
      <c r="G41">
        <v>1773051573</v>
      </c>
      <c r="H41">
        <v>30.416</v>
      </c>
      <c r="I41">
        <v>12.0380268817204</v>
      </c>
      <c r="J41">
        <v>12.0380268817204</v>
      </c>
      <c r="K41">
        <v>33.039721259496702</v>
      </c>
      <c r="L41">
        <v>-1.0274338722228999</v>
      </c>
      <c r="M41">
        <v>1.0274338722228999</v>
      </c>
      <c r="N41" s="3">
        <v>5.7947207411579601E-8</v>
      </c>
      <c r="O41" s="2" t="s">
        <v>88</v>
      </c>
      <c r="P41" s="2" t="s">
        <v>93</v>
      </c>
      <c r="Q41" s="1" t="s">
        <v>89</v>
      </c>
      <c r="R41" s="1" t="s">
        <v>94</v>
      </c>
      <c r="T41">
        <f t="shared" si="0"/>
        <v>-12.038026881720402</v>
      </c>
    </row>
    <row r="42" spans="1:20" x14ac:dyDescent="0.3">
      <c r="A42">
        <v>41</v>
      </c>
      <c r="B42">
        <v>4</v>
      </c>
      <c r="C42">
        <v>1773051553.42031</v>
      </c>
      <c r="D42">
        <v>1773051610.1861401</v>
      </c>
      <c r="E42">
        <v>56.765834162520598</v>
      </c>
      <c r="F42">
        <v>1773051563</v>
      </c>
      <c r="G42">
        <v>1773051598</v>
      </c>
      <c r="H42">
        <v>35.201000000000001</v>
      </c>
      <c r="I42">
        <v>21.564834162520601</v>
      </c>
      <c r="J42">
        <v>21.564834162520601</v>
      </c>
      <c r="K42">
        <v>46.896980544990697</v>
      </c>
      <c r="L42">
        <v>12.186148643493601</v>
      </c>
      <c r="M42">
        <v>12.186148643493601</v>
      </c>
      <c r="N42" s="3">
        <v>6.8729802422907604E-7</v>
      </c>
      <c r="O42" s="2" t="s">
        <v>86</v>
      </c>
      <c r="P42" s="2" t="s">
        <v>95</v>
      </c>
      <c r="Q42" s="1" t="s">
        <v>73</v>
      </c>
      <c r="R42" s="1" t="s">
        <v>96</v>
      </c>
      <c r="T42">
        <f t="shared" si="0"/>
        <v>-21.564834162520597</v>
      </c>
    </row>
    <row r="43" spans="1:20" x14ac:dyDescent="0.3">
      <c r="A43">
        <v>42</v>
      </c>
      <c r="B43">
        <v>3</v>
      </c>
      <c r="C43">
        <v>1773051557.37673</v>
      </c>
      <c r="D43">
        <v>1773051599.79849</v>
      </c>
      <c r="E43">
        <v>42.421753351206398</v>
      </c>
      <c r="F43">
        <v>1773051563</v>
      </c>
      <c r="G43">
        <v>1773051593</v>
      </c>
      <c r="H43">
        <v>30.437000000000001</v>
      </c>
      <c r="I43">
        <v>11.9847533512064</v>
      </c>
      <c r="J43">
        <v>11.9847533512064</v>
      </c>
      <c r="K43">
        <v>32.898595707328099</v>
      </c>
      <c r="L43">
        <v>6.7984921932220397</v>
      </c>
      <c r="M43">
        <v>6.7984921932220397</v>
      </c>
      <c r="N43" s="3">
        <v>3.8343453777817698E-7</v>
      </c>
      <c r="O43" s="2" t="s">
        <v>90</v>
      </c>
      <c r="P43" s="2" t="s">
        <v>97</v>
      </c>
      <c r="Q43" s="1" t="s">
        <v>73</v>
      </c>
      <c r="R43" s="1" t="s">
        <v>98</v>
      </c>
      <c r="T43">
        <f t="shared" si="0"/>
        <v>-11.984753351206397</v>
      </c>
    </row>
    <row r="44" spans="1:20" x14ac:dyDescent="0.3">
      <c r="A44">
        <v>43</v>
      </c>
      <c r="B44">
        <v>1</v>
      </c>
      <c r="C44">
        <v>1773051566.0157599</v>
      </c>
      <c r="D44">
        <v>1773051608.4054699</v>
      </c>
      <c r="E44">
        <v>42.389708556149699</v>
      </c>
      <c r="F44">
        <v>1773051563</v>
      </c>
      <c r="G44">
        <v>1773051654</v>
      </c>
      <c r="H44">
        <v>90.41</v>
      </c>
      <c r="I44">
        <v>-48.020291443850198</v>
      </c>
      <c r="J44">
        <v>48.020291443850198</v>
      </c>
      <c r="K44">
        <v>72.319874743620502</v>
      </c>
      <c r="L44">
        <v>-45.594522476196197</v>
      </c>
      <c r="M44">
        <v>45.594522476196197</v>
      </c>
      <c r="N44" s="3">
        <v>2.5715281875501502E-6</v>
      </c>
      <c r="O44" s="2" t="s">
        <v>92</v>
      </c>
      <c r="P44" s="2" t="s">
        <v>99</v>
      </c>
      <c r="Q44" s="1" t="s">
        <v>73</v>
      </c>
      <c r="R44" s="1" t="s">
        <v>100</v>
      </c>
      <c r="T44">
        <f t="shared" si="0"/>
        <v>48.020291443850297</v>
      </c>
    </row>
    <row r="45" spans="1:20" x14ac:dyDescent="0.3">
      <c r="A45">
        <v>44</v>
      </c>
      <c r="B45">
        <v>2</v>
      </c>
      <c r="C45">
        <v>1773051571.9725599</v>
      </c>
      <c r="D45">
        <v>1773051614.49032</v>
      </c>
      <c r="E45">
        <v>42.517762666666599</v>
      </c>
      <c r="F45">
        <v>1773051573</v>
      </c>
      <c r="G45">
        <v>1773051611</v>
      </c>
      <c r="H45">
        <v>37.186999999999998</v>
      </c>
      <c r="I45">
        <v>5.3307626666666401</v>
      </c>
      <c r="J45">
        <v>5.3307626666666401</v>
      </c>
      <c r="K45">
        <v>13.3762713502088</v>
      </c>
      <c r="L45">
        <v>3.4903287887573198</v>
      </c>
      <c r="M45">
        <v>3.4903287887573198</v>
      </c>
      <c r="N45" s="3">
        <v>1.9685432525866201E-7</v>
      </c>
      <c r="O45" s="2" t="s">
        <v>93</v>
      </c>
      <c r="P45" s="2" t="s">
        <v>101</v>
      </c>
      <c r="Q45" s="1" t="s">
        <v>94</v>
      </c>
      <c r="R45" s="1" t="s">
        <v>102</v>
      </c>
      <c r="T45">
        <f t="shared" si="0"/>
        <v>-5.330762666666601</v>
      </c>
    </row>
    <row r="46" spans="1:20" x14ac:dyDescent="0.3">
      <c r="A46">
        <v>45</v>
      </c>
      <c r="B46">
        <v>3</v>
      </c>
      <c r="C46">
        <v>1773051599.79849</v>
      </c>
      <c r="D46">
        <v>1773051656.5464599</v>
      </c>
      <c r="E46">
        <v>56.747967688483698</v>
      </c>
      <c r="F46">
        <v>1773051593</v>
      </c>
      <c r="G46">
        <v>1773051632</v>
      </c>
      <c r="H46">
        <v>39.094999999999999</v>
      </c>
      <c r="I46">
        <v>17.652967688483699</v>
      </c>
      <c r="J46">
        <v>17.652967688483699</v>
      </c>
      <c r="K46">
        <v>36.837272706038803</v>
      </c>
      <c r="L46">
        <v>24.546459913253699</v>
      </c>
      <c r="M46">
        <v>24.546459913253699</v>
      </c>
      <c r="N46" s="3">
        <v>1.38441877835517E-6</v>
      </c>
      <c r="O46" s="2" t="s">
        <v>97</v>
      </c>
      <c r="P46" s="2" t="s">
        <v>103</v>
      </c>
      <c r="Q46" s="1" t="s">
        <v>98</v>
      </c>
      <c r="R46" s="1" t="s">
        <v>104</v>
      </c>
      <c r="T46">
        <f t="shared" si="0"/>
        <v>-17.652967688483699</v>
      </c>
    </row>
    <row r="47" spans="1:20" x14ac:dyDescent="0.3">
      <c r="A47">
        <v>46</v>
      </c>
      <c r="B47">
        <v>1</v>
      </c>
      <c r="C47">
        <v>1773051608.4054699</v>
      </c>
      <c r="D47">
        <v>1773051665.1388299</v>
      </c>
      <c r="E47">
        <v>56.733354304635597</v>
      </c>
      <c r="F47">
        <v>1773051598</v>
      </c>
      <c r="G47">
        <v>1773051638</v>
      </c>
      <c r="H47">
        <v>39.363999999999997</v>
      </c>
      <c r="I47">
        <v>17.3693543046356</v>
      </c>
      <c r="J47">
        <v>17.3693543046356</v>
      </c>
      <c r="K47">
        <v>36.1494953327716</v>
      </c>
      <c r="L47">
        <v>27.138831853866499</v>
      </c>
      <c r="M47">
        <v>27.138831853866499</v>
      </c>
      <c r="N47" s="3">
        <v>1.53062838467478E-6</v>
      </c>
      <c r="O47" s="2" t="s">
        <v>99</v>
      </c>
      <c r="P47" s="2" t="s">
        <v>105</v>
      </c>
      <c r="Q47" s="1" t="s">
        <v>96</v>
      </c>
      <c r="R47" s="1" t="s">
        <v>106</v>
      </c>
      <c r="T47">
        <f t="shared" si="0"/>
        <v>-17.3693543046356</v>
      </c>
    </row>
    <row r="48" spans="1:20" x14ac:dyDescent="0.3">
      <c r="A48">
        <v>47</v>
      </c>
      <c r="B48">
        <v>4</v>
      </c>
      <c r="C48">
        <v>1773051610.1861401</v>
      </c>
      <c r="D48">
        <v>1773051666.9051299</v>
      </c>
      <c r="E48">
        <v>56.718987593051899</v>
      </c>
      <c r="F48">
        <v>1773051611</v>
      </c>
      <c r="G48">
        <v>1773051752</v>
      </c>
      <c r="H48">
        <v>140.96600000000001</v>
      </c>
      <c r="I48">
        <v>-84.247012406948002</v>
      </c>
      <c r="J48">
        <v>84.247012406948002</v>
      </c>
      <c r="K48">
        <v>85.233596574744595</v>
      </c>
      <c r="L48">
        <v>-85.094863653182898</v>
      </c>
      <c r="M48">
        <v>85.094863653182898</v>
      </c>
      <c r="N48" s="3">
        <v>4.79934472297235E-6</v>
      </c>
      <c r="O48" s="2" t="s">
        <v>95</v>
      </c>
      <c r="P48" s="2" t="s">
        <v>107</v>
      </c>
      <c r="Q48" s="1" t="s">
        <v>102</v>
      </c>
      <c r="R48" s="1" t="s">
        <v>108</v>
      </c>
      <c r="T48">
        <f t="shared" si="0"/>
        <v>84.247012406948102</v>
      </c>
    </row>
    <row r="49" spans="1:20" x14ac:dyDescent="0.3">
      <c r="A49">
        <v>48</v>
      </c>
      <c r="B49">
        <v>2</v>
      </c>
      <c r="C49">
        <v>1773051614.49032</v>
      </c>
      <c r="D49">
        <v>1773051671.27894</v>
      </c>
      <c r="E49">
        <v>56.788613223140302</v>
      </c>
      <c r="F49">
        <v>1773051632</v>
      </c>
      <c r="G49">
        <v>1773051720</v>
      </c>
      <c r="H49">
        <v>88.820999999999998</v>
      </c>
      <c r="I49">
        <v>-32.032386776859603</v>
      </c>
      <c r="J49">
        <v>32.032386776859603</v>
      </c>
      <c r="K49">
        <v>43.99762634871</v>
      </c>
      <c r="L49">
        <v>-48.721057891845703</v>
      </c>
      <c r="M49">
        <v>48.721057891845703</v>
      </c>
      <c r="N49" s="3">
        <v>2.7478644876326502E-6</v>
      </c>
      <c r="O49" s="2" t="s">
        <v>101</v>
      </c>
      <c r="P49" s="2" t="s">
        <v>109</v>
      </c>
      <c r="Q49" s="1" t="s">
        <v>104</v>
      </c>
      <c r="R49" s="1" t="s">
        <v>110</v>
      </c>
      <c r="T49">
        <f t="shared" si="0"/>
        <v>32.032386776859695</v>
      </c>
    </row>
    <row r="50" spans="1:20" x14ac:dyDescent="0.3">
      <c r="A50">
        <v>49</v>
      </c>
      <c r="B50">
        <v>3</v>
      </c>
      <c r="C50">
        <v>1773051656.5464599</v>
      </c>
      <c r="D50">
        <v>1773051713.3615201</v>
      </c>
      <c r="E50">
        <v>56.815064409578703</v>
      </c>
      <c r="F50">
        <v>1773051638</v>
      </c>
      <c r="G50">
        <v>1773051720</v>
      </c>
      <c r="H50">
        <v>82.004000000000005</v>
      </c>
      <c r="I50">
        <v>-25.188935590421199</v>
      </c>
      <c r="J50">
        <v>25.188935590421199</v>
      </c>
      <c r="K50">
        <v>36.290311705462202</v>
      </c>
      <c r="L50">
        <v>-6.6384756565093896</v>
      </c>
      <c r="M50">
        <v>6.6384756565093896</v>
      </c>
      <c r="N50" s="3">
        <v>3.7440958963887102E-7</v>
      </c>
      <c r="O50" s="2" t="s">
        <v>103</v>
      </c>
      <c r="P50" s="2" t="s">
        <v>111</v>
      </c>
      <c r="Q50" s="1" t="s">
        <v>106</v>
      </c>
      <c r="R50" s="1" t="s">
        <v>110</v>
      </c>
      <c r="T50">
        <f t="shared" si="0"/>
        <v>25.188935590421302</v>
      </c>
    </row>
    <row r="51" spans="1:20" x14ac:dyDescent="0.3">
      <c r="A51">
        <v>50</v>
      </c>
      <c r="B51">
        <v>1</v>
      </c>
      <c r="C51">
        <v>1773051665.1388299</v>
      </c>
      <c r="D51">
        <v>1773051707.64241</v>
      </c>
      <c r="E51">
        <v>42.5035851063829</v>
      </c>
      <c r="F51">
        <v>1773051654</v>
      </c>
      <c r="G51">
        <v>1773051679</v>
      </c>
      <c r="H51">
        <v>24.875</v>
      </c>
      <c r="I51">
        <v>17.6285851063829</v>
      </c>
      <c r="J51">
        <v>17.6285851063829</v>
      </c>
      <c r="K51">
        <v>52.326967325150697</v>
      </c>
      <c r="L51">
        <v>28.642416954040499</v>
      </c>
      <c r="M51">
        <v>28.642416954040499</v>
      </c>
      <c r="N51" s="3">
        <v>1.61543045033214E-6</v>
      </c>
      <c r="O51" s="2" t="s">
        <v>105</v>
      </c>
      <c r="P51" s="2" t="s">
        <v>112</v>
      </c>
      <c r="Q51" s="1" t="s">
        <v>100</v>
      </c>
      <c r="R51" s="1" t="s">
        <v>113</v>
      </c>
      <c r="T51">
        <f t="shared" si="0"/>
        <v>-17.6285851063829</v>
      </c>
    </row>
    <row r="52" spans="1:20" x14ac:dyDescent="0.3">
      <c r="A52">
        <v>51</v>
      </c>
      <c r="B52">
        <v>4</v>
      </c>
      <c r="C52">
        <v>1773051666.9051299</v>
      </c>
      <c r="D52">
        <v>1773051723.7409799</v>
      </c>
      <c r="E52">
        <v>56.835847359735801</v>
      </c>
      <c r="F52">
        <v>1773051679</v>
      </c>
      <c r="G52">
        <v>1773051720</v>
      </c>
      <c r="H52">
        <v>41.027999999999999</v>
      </c>
      <c r="I52">
        <v>15.807847359735799</v>
      </c>
      <c r="J52">
        <v>15.807847359735799</v>
      </c>
      <c r="K52">
        <v>32.305795830053697</v>
      </c>
      <c r="L52">
        <v>3.74098372459411</v>
      </c>
      <c r="M52">
        <v>3.74098372459411</v>
      </c>
      <c r="N52" s="3">
        <v>2.1099123496789699E-7</v>
      </c>
      <c r="O52" s="2" t="s">
        <v>107</v>
      </c>
      <c r="P52" s="2" t="s">
        <v>114</v>
      </c>
      <c r="Q52" s="1" t="s">
        <v>113</v>
      </c>
      <c r="R52" s="1" t="s">
        <v>110</v>
      </c>
      <c r="T52">
        <f t="shared" si="0"/>
        <v>-15.807847359735803</v>
      </c>
    </row>
    <row r="53" spans="1:20" x14ac:dyDescent="0.3">
      <c r="A53">
        <v>52</v>
      </c>
      <c r="B53">
        <v>2</v>
      </c>
      <c r="C53">
        <v>1773051671.27894</v>
      </c>
      <c r="D53">
        <v>1773051728.1017499</v>
      </c>
      <c r="E53">
        <v>56.822815333882801</v>
      </c>
      <c r="F53">
        <v>1773051719</v>
      </c>
      <c r="G53">
        <v>1773051837</v>
      </c>
      <c r="H53">
        <v>118.265</v>
      </c>
      <c r="I53">
        <v>-61.4421846661171</v>
      </c>
      <c r="J53">
        <v>61.4421846661171</v>
      </c>
      <c r="K53">
        <v>70.184420942085893</v>
      </c>
      <c r="L53">
        <v>-108.898242473602</v>
      </c>
      <c r="M53">
        <v>108.898242473602</v>
      </c>
      <c r="N53" s="3">
        <v>6.14185347237467E-6</v>
      </c>
      <c r="O53" s="2" t="s">
        <v>109</v>
      </c>
      <c r="P53" s="2" t="s">
        <v>115</v>
      </c>
      <c r="Q53" s="1" t="s">
        <v>116</v>
      </c>
      <c r="R53" s="1" t="s">
        <v>117</v>
      </c>
      <c r="T53">
        <f t="shared" si="0"/>
        <v>61.4421846661172</v>
      </c>
    </row>
    <row r="54" spans="1:20" x14ac:dyDescent="0.3">
      <c r="A54">
        <v>53</v>
      </c>
      <c r="B54">
        <v>1</v>
      </c>
      <c r="C54">
        <v>1773051707.64241</v>
      </c>
      <c r="D54">
        <v>1773051764.5158401</v>
      </c>
      <c r="E54">
        <v>56.873426688632499</v>
      </c>
      <c r="F54">
        <v>1773051719</v>
      </c>
      <c r="G54">
        <v>1773051839</v>
      </c>
      <c r="H54">
        <v>119.389</v>
      </c>
      <c r="I54">
        <v>-62.515573311367497</v>
      </c>
      <c r="J54">
        <v>62.515573311367497</v>
      </c>
      <c r="K54">
        <v>70.934656336941501</v>
      </c>
      <c r="L54">
        <v>-74.484156370162907</v>
      </c>
      <c r="M54">
        <v>74.484156370162907</v>
      </c>
      <c r="N54" s="3">
        <v>4.2009013101768602E-6</v>
      </c>
      <c r="O54" s="2" t="s">
        <v>112</v>
      </c>
      <c r="P54" s="2" t="s">
        <v>118</v>
      </c>
      <c r="Q54" s="1" t="s">
        <v>116</v>
      </c>
      <c r="R54" s="1" t="s">
        <v>119</v>
      </c>
      <c r="T54">
        <f t="shared" si="0"/>
        <v>62.515573311367497</v>
      </c>
    </row>
    <row r="55" spans="1:20" x14ac:dyDescent="0.3">
      <c r="A55">
        <v>54</v>
      </c>
      <c r="B55">
        <v>3</v>
      </c>
      <c r="C55">
        <v>1773051713.3615201</v>
      </c>
      <c r="D55">
        <v>1773051770.2864001</v>
      </c>
      <c r="E55">
        <v>56.924879835390797</v>
      </c>
      <c r="F55">
        <v>1773051720</v>
      </c>
      <c r="G55">
        <v>1773051864</v>
      </c>
      <c r="H55">
        <v>144.33799999999999</v>
      </c>
      <c r="I55">
        <v>-87.413120164609097</v>
      </c>
      <c r="J55">
        <v>87.413120164609097</v>
      </c>
      <c r="K55">
        <v>86.864622265270896</v>
      </c>
      <c r="L55">
        <v>-93.713595867156897</v>
      </c>
      <c r="M55">
        <v>93.713595867156897</v>
      </c>
      <c r="N55" s="3">
        <v>5.2854403329368697E-6</v>
      </c>
      <c r="O55" s="2" t="s">
        <v>111</v>
      </c>
      <c r="P55" s="2" t="s">
        <v>120</v>
      </c>
      <c r="Q55" s="1" t="s">
        <v>110</v>
      </c>
      <c r="R55" s="1" t="s">
        <v>121</v>
      </c>
      <c r="T55">
        <f t="shared" si="0"/>
        <v>87.413120164609197</v>
      </c>
    </row>
    <row r="56" spans="1:20" x14ac:dyDescent="0.3">
      <c r="A56">
        <v>55</v>
      </c>
      <c r="B56">
        <v>4</v>
      </c>
      <c r="C56">
        <v>1773051723.7409799</v>
      </c>
      <c r="D56">
        <v>1773051780.73774</v>
      </c>
      <c r="E56">
        <v>56.996765624999803</v>
      </c>
      <c r="F56">
        <v>1773051751</v>
      </c>
      <c r="G56">
        <v>1773051870</v>
      </c>
      <c r="H56">
        <v>118.134</v>
      </c>
      <c r="I56">
        <v>-61.137234375000098</v>
      </c>
      <c r="J56">
        <v>61.137234375000098</v>
      </c>
      <c r="K56">
        <v>69.818954033365699</v>
      </c>
      <c r="L56">
        <v>-89.262250661849905</v>
      </c>
      <c r="M56">
        <v>89.262250661849905</v>
      </c>
      <c r="N56" s="3">
        <v>5.0343847475117801E-6</v>
      </c>
      <c r="O56" s="2" t="s">
        <v>114</v>
      </c>
      <c r="P56" s="2" t="s">
        <v>122</v>
      </c>
      <c r="Q56" s="1" t="s">
        <v>123</v>
      </c>
      <c r="R56" s="1" t="s">
        <v>124</v>
      </c>
      <c r="T56">
        <f t="shared" si="0"/>
        <v>61.137234375000197</v>
      </c>
    </row>
    <row r="57" spans="1:20" x14ac:dyDescent="0.3">
      <c r="A57">
        <v>56</v>
      </c>
      <c r="B57">
        <v>2</v>
      </c>
      <c r="C57">
        <v>1773051728.1017499</v>
      </c>
      <c r="D57">
        <v>1773051770.5585799</v>
      </c>
      <c r="E57">
        <v>42.456824933686903</v>
      </c>
      <c r="F57">
        <v>1773051837</v>
      </c>
      <c r="G57">
        <v>1773051922</v>
      </c>
      <c r="H57">
        <v>84.88</v>
      </c>
      <c r="I57">
        <v>-42.423175066313</v>
      </c>
      <c r="J57">
        <v>42.423175066313</v>
      </c>
      <c r="K57">
        <v>66.631432169611003</v>
      </c>
      <c r="L57">
        <v>-151.44141745567299</v>
      </c>
      <c r="M57">
        <v>151.44141745567299</v>
      </c>
      <c r="N57" s="3">
        <v>8.5412853421894892E-6</v>
      </c>
      <c r="O57" s="2" t="s">
        <v>115</v>
      </c>
      <c r="P57" s="2" t="s">
        <v>125</v>
      </c>
      <c r="Q57" s="1" t="s">
        <v>117</v>
      </c>
      <c r="R57" s="1" t="s">
        <v>126</v>
      </c>
      <c r="T57">
        <f t="shared" si="0"/>
        <v>42.423175066313092</v>
      </c>
    </row>
    <row r="58" spans="1:20" x14ac:dyDescent="0.3">
      <c r="A58">
        <v>57</v>
      </c>
      <c r="B58">
        <v>1</v>
      </c>
      <c r="C58">
        <v>1773051764.5158401</v>
      </c>
      <c r="D58">
        <v>1773051807.0848899</v>
      </c>
      <c r="E58">
        <v>42.569055555555501</v>
      </c>
      <c r="F58">
        <v>1773051838</v>
      </c>
      <c r="G58">
        <v>1773051877</v>
      </c>
      <c r="H58">
        <v>39.204000000000001</v>
      </c>
      <c r="I58">
        <v>3.3650555555555299</v>
      </c>
      <c r="J58">
        <v>3.3650555555555299</v>
      </c>
      <c r="K58">
        <v>8.2302306858751493</v>
      </c>
      <c r="L58">
        <v>-69.915100812911902</v>
      </c>
      <c r="M58">
        <v>69.915100812911902</v>
      </c>
      <c r="N58" s="3">
        <v>3.94320680056224E-6</v>
      </c>
      <c r="O58" s="2" t="s">
        <v>118</v>
      </c>
      <c r="P58" s="2" t="s">
        <v>127</v>
      </c>
      <c r="Q58" s="1" t="s">
        <v>128</v>
      </c>
      <c r="R58" s="1" t="s">
        <v>129</v>
      </c>
      <c r="T58">
        <f t="shared" si="0"/>
        <v>-3.3650555555555002</v>
      </c>
    </row>
    <row r="59" spans="1:20" x14ac:dyDescent="0.3">
      <c r="A59">
        <v>58</v>
      </c>
      <c r="B59">
        <v>3</v>
      </c>
      <c r="C59">
        <v>1773051770.2864001</v>
      </c>
      <c r="D59">
        <v>1773051827.3334</v>
      </c>
      <c r="E59">
        <v>57.047001643385201</v>
      </c>
      <c r="F59">
        <v>1773051863</v>
      </c>
      <c r="G59">
        <v>1773051967</v>
      </c>
      <c r="H59">
        <v>103.16200000000001</v>
      </c>
      <c r="I59">
        <v>-46.114998356614699</v>
      </c>
      <c r="J59">
        <v>46.114998356614699</v>
      </c>
      <c r="K59">
        <v>57.568548438075503</v>
      </c>
      <c r="L59">
        <v>-139.666594266891</v>
      </c>
      <c r="M59">
        <v>139.666594266891</v>
      </c>
      <c r="N59" s="3">
        <v>7.8771859126106501E-6</v>
      </c>
      <c r="O59" s="2" t="s">
        <v>120</v>
      </c>
      <c r="P59" s="2" t="s">
        <v>130</v>
      </c>
      <c r="Q59" s="1" t="s">
        <v>131</v>
      </c>
      <c r="R59" s="1" t="s">
        <v>132</v>
      </c>
      <c r="T59">
        <f t="shared" si="0"/>
        <v>46.114998356614805</v>
      </c>
    </row>
    <row r="60" spans="1:20" x14ac:dyDescent="0.3">
      <c r="A60">
        <v>59</v>
      </c>
      <c r="B60">
        <v>2</v>
      </c>
      <c r="C60">
        <v>1773051770.5585799</v>
      </c>
      <c r="D60">
        <v>1773051827.64344</v>
      </c>
      <c r="E60">
        <v>57.084862889983398</v>
      </c>
      <c r="F60">
        <v>1773051870</v>
      </c>
      <c r="G60">
        <v>1773051899</v>
      </c>
      <c r="H60">
        <v>29.131</v>
      </c>
      <c r="I60">
        <v>27.953862889983402</v>
      </c>
      <c r="J60">
        <v>27.953862889983402</v>
      </c>
      <c r="K60">
        <v>64.846217280581499</v>
      </c>
      <c r="L60">
        <v>-71.3565545082092</v>
      </c>
      <c r="M60">
        <v>71.3565545082092</v>
      </c>
      <c r="N60" s="3">
        <v>4.0245046399560103E-6</v>
      </c>
      <c r="O60" s="2" t="s">
        <v>125</v>
      </c>
      <c r="P60" s="2" t="s">
        <v>133</v>
      </c>
      <c r="Q60" s="1" t="s">
        <v>124</v>
      </c>
      <c r="R60" s="1" t="s">
        <v>134</v>
      </c>
      <c r="T60">
        <f t="shared" si="0"/>
        <v>-27.953862889983398</v>
      </c>
    </row>
    <row r="61" spans="1:20" x14ac:dyDescent="0.3">
      <c r="A61">
        <v>60</v>
      </c>
      <c r="B61">
        <v>4</v>
      </c>
      <c r="C61">
        <v>1773051780.73774</v>
      </c>
      <c r="D61">
        <v>1773051837.79968</v>
      </c>
      <c r="E61">
        <v>57.061931091058099</v>
      </c>
      <c r="F61">
        <v>1773051877</v>
      </c>
      <c r="G61">
        <v>1773051939</v>
      </c>
      <c r="H61">
        <v>61.146999999999998</v>
      </c>
      <c r="I61">
        <v>-4.0850689089418699</v>
      </c>
      <c r="J61">
        <v>4.0850689089418699</v>
      </c>
      <c r="K61">
        <v>6.91160789838304</v>
      </c>
      <c r="L61">
        <v>-101.200319528579</v>
      </c>
      <c r="M61">
        <v>101.200319528579</v>
      </c>
      <c r="N61" s="3">
        <v>5.70769080085478E-6</v>
      </c>
      <c r="O61" s="2" t="s">
        <v>122</v>
      </c>
      <c r="P61" s="2" t="s">
        <v>128</v>
      </c>
      <c r="Q61" s="1" t="s">
        <v>129</v>
      </c>
      <c r="R61" s="1" t="s">
        <v>135</v>
      </c>
      <c r="T61">
        <f t="shared" si="0"/>
        <v>4.0850689089418992</v>
      </c>
    </row>
    <row r="62" spans="1:20" x14ac:dyDescent="0.3">
      <c r="A62">
        <v>61</v>
      </c>
      <c r="B62">
        <v>1</v>
      </c>
      <c r="C62">
        <v>1773051807.0848899</v>
      </c>
      <c r="D62">
        <v>1773051864.1501701</v>
      </c>
      <c r="E62">
        <v>57.065279508196603</v>
      </c>
      <c r="F62">
        <v>1773051899</v>
      </c>
      <c r="G62">
        <v>1773052014</v>
      </c>
      <c r="H62">
        <v>114.723</v>
      </c>
      <c r="I62">
        <v>-57.657720491803303</v>
      </c>
      <c r="J62">
        <v>57.657720491803303</v>
      </c>
      <c r="K62">
        <v>67.126489253945095</v>
      </c>
      <c r="L62">
        <v>-149.849821329116</v>
      </c>
      <c r="M62">
        <v>149.849821329116</v>
      </c>
      <c r="N62" s="3">
        <v>8.4515189897530992E-6</v>
      </c>
      <c r="O62" s="2" t="s">
        <v>127</v>
      </c>
      <c r="P62" s="2" t="s">
        <v>121</v>
      </c>
      <c r="Q62" s="1" t="s">
        <v>134</v>
      </c>
      <c r="R62" s="1" t="s">
        <v>136</v>
      </c>
      <c r="T62">
        <f t="shared" si="0"/>
        <v>57.657720491803396</v>
      </c>
    </row>
    <row r="63" spans="1:20" x14ac:dyDescent="0.3">
      <c r="A63">
        <v>62</v>
      </c>
      <c r="B63">
        <v>3</v>
      </c>
      <c r="C63">
        <v>1773051827.3334</v>
      </c>
      <c r="D63">
        <v>1773051884.4459</v>
      </c>
      <c r="E63">
        <v>57.112501228501102</v>
      </c>
      <c r="F63">
        <v>1773051922</v>
      </c>
      <c r="G63">
        <v>1773052024</v>
      </c>
      <c r="H63">
        <v>101.61799999999999</v>
      </c>
      <c r="I63">
        <v>-44.5054987714988</v>
      </c>
      <c r="J63">
        <v>44.5054987714988</v>
      </c>
      <c r="K63">
        <v>56.076807452942901</v>
      </c>
      <c r="L63">
        <v>-139.55409312248199</v>
      </c>
      <c r="M63">
        <v>139.55409312248199</v>
      </c>
      <c r="N63" s="3">
        <v>7.8708406028430407E-6</v>
      </c>
      <c r="O63" s="2" t="s">
        <v>130</v>
      </c>
      <c r="P63" s="2" t="s">
        <v>137</v>
      </c>
      <c r="Q63" s="1" t="s">
        <v>126</v>
      </c>
      <c r="R63" s="1" t="s">
        <v>138</v>
      </c>
      <c r="T63">
        <f t="shared" si="0"/>
        <v>44.505498771498893</v>
      </c>
    </row>
    <row r="64" spans="1:20" x14ac:dyDescent="0.3">
      <c r="A64">
        <v>63</v>
      </c>
      <c r="B64">
        <v>2</v>
      </c>
      <c r="C64">
        <v>1773051827.64344</v>
      </c>
      <c r="D64">
        <v>1773051884.7923601</v>
      </c>
      <c r="E64">
        <v>57.148921440261702</v>
      </c>
      <c r="F64">
        <v>1773051938</v>
      </c>
      <c r="G64">
        <v>1773052052</v>
      </c>
      <c r="H64">
        <v>113.67</v>
      </c>
      <c r="I64">
        <v>-56.5210785597382</v>
      </c>
      <c r="J64">
        <v>56.5210785597382</v>
      </c>
      <c r="K64">
        <v>66.176601612022907</v>
      </c>
      <c r="L64">
        <v>-167.207633018493</v>
      </c>
      <c r="M64">
        <v>167.207633018493</v>
      </c>
      <c r="N64" s="3">
        <v>9.4304981466359096E-6</v>
      </c>
      <c r="O64" s="2" t="s">
        <v>133</v>
      </c>
      <c r="P64" s="2" t="s">
        <v>139</v>
      </c>
      <c r="Q64" s="1" t="s">
        <v>140</v>
      </c>
      <c r="R64" s="1" t="s">
        <v>141</v>
      </c>
      <c r="T64">
        <f t="shared" si="0"/>
        <v>56.521078559738299</v>
      </c>
    </row>
    <row r="65" spans="1:20" x14ac:dyDescent="0.3">
      <c r="A65">
        <v>64</v>
      </c>
      <c r="B65">
        <v>4</v>
      </c>
      <c r="C65">
        <v>1773051837.79968</v>
      </c>
      <c r="D65">
        <v>1773051931.1206701</v>
      </c>
      <c r="E65">
        <v>93.320990974729199</v>
      </c>
      <c r="F65">
        <v>1773051967</v>
      </c>
      <c r="G65">
        <v>1773052042</v>
      </c>
      <c r="H65">
        <v>75.174000000000007</v>
      </c>
      <c r="I65">
        <v>18.146990974729199</v>
      </c>
      <c r="J65">
        <v>18.146990974729199</v>
      </c>
      <c r="K65">
        <v>21.5400954885963</v>
      </c>
      <c r="L65">
        <v>-110.87932848930301</v>
      </c>
      <c r="M65">
        <v>110.87932848930301</v>
      </c>
      <c r="N65" s="3">
        <v>6.2535858694366802E-6</v>
      </c>
      <c r="O65" s="2" t="s">
        <v>128</v>
      </c>
      <c r="P65" s="2" t="s">
        <v>142</v>
      </c>
      <c r="Q65" s="1" t="s">
        <v>132</v>
      </c>
      <c r="R65" s="1" t="s">
        <v>143</v>
      </c>
      <c r="T65">
        <f t="shared" si="0"/>
        <v>-18.146990974729192</v>
      </c>
    </row>
    <row r="66" spans="1:20" x14ac:dyDescent="0.3">
      <c r="A66">
        <v>65</v>
      </c>
      <c r="B66">
        <v>1</v>
      </c>
      <c r="C66">
        <v>1773051864.1501701</v>
      </c>
      <c r="D66">
        <v>1773051921.34531</v>
      </c>
      <c r="E66">
        <v>57.195136549468401</v>
      </c>
      <c r="F66">
        <v>1773052014</v>
      </c>
      <c r="G66">
        <v>1773052136</v>
      </c>
      <c r="H66">
        <v>121.727</v>
      </c>
      <c r="I66">
        <v>-64.531863450531603</v>
      </c>
      <c r="J66">
        <v>64.531863450531603</v>
      </c>
      <c r="K66">
        <v>72.1340184004451</v>
      </c>
      <c r="L66">
        <v>-214.654684782028</v>
      </c>
      <c r="M66">
        <v>214.654684782028</v>
      </c>
      <c r="N66" s="3">
        <v>1.21065079484849E-5</v>
      </c>
      <c r="O66" s="2" t="s">
        <v>121</v>
      </c>
      <c r="P66" s="2" t="s">
        <v>144</v>
      </c>
      <c r="Q66" s="1" t="s">
        <v>136</v>
      </c>
      <c r="R66" s="1" t="s">
        <v>145</v>
      </c>
      <c r="T66">
        <f t="shared" si="0"/>
        <v>64.531863450531603</v>
      </c>
    </row>
    <row r="67" spans="1:20" x14ac:dyDescent="0.3">
      <c r="A67">
        <v>66</v>
      </c>
      <c r="B67">
        <v>3</v>
      </c>
      <c r="C67">
        <v>1773051884.4459</v>
      </c>
      <c r="D67">
        <v>1773051977.7342</v>
      </c>
      <c r="E67">
        <v>93.288293693693703</v>
      </c>
      <c r="F67">
        <v>1773052024</v>
      </c>
      <c r="G67">
        <v>1773052080</v>
      </c>
      <c r="H67">
        <v>56.145000000000003</v>
      </c>
      <c r="I67">
        <v>37.1432936936937</v>
      </c>
      <c r="J67">
        <v>37.1432936936937</v>
      </c>
      <c r="K67">
        <v>49.712206397363502</v>
      </c>
      <c r="L67">
        <v>-102.26579952239901</v>
      </c>
      <c r="M67">
        <v>102.26579952239901</v>
      </c>
      <c r="N67" s="3">
        <v>5.7677833395415402E-6</v>
      </c>
      <c r="O67" s="2" t="s">
        <v>137</v>
      </c>
      <c r="P67" s="2" t="s">
        <v>146</v>
      </c>
      <c r="Q67" s="1" t="s">
        <v>138</v>
      </c>
      <c r="R67" s="1" t="s">
        <v>147</v>
      </c>
      <c r="T67">
        <f t="shared" ref="T67:T119" si="1">H67-E67</f>
        <v>-37.1432936936937</v>
      </c>
    </row>
    <row r="68" spans="1:20" x14ac:dyDescent="0.3">
      <c r="A68">
        <v>67</v>
      </c>
      <c r="B68">
        <v>2</v>
      </c>
      <c r="C68">
        <v>1773051884.7923601</v>
      </c>
      <c r="D68">
        <v>1773051978.01385</v>
      </c>
      <c r="E68">
        <v>93.221489208633102</v>
      </c>
      <c r="F68">
        <v>1773052042</v>
      </c>
      <c r="G68">
        <v>1773052125</v>
      </c>
      <c r="H68">
        <v>82.858999999999995</v>
      </c>
      <c r="I68">
        <v>10.3624892086331</v>
      </c>
      <c r="J68">
        <v>10.3624892086331</v>
      </c>
      <c r="K68">
        <v>11.770173123899999</v>
      </c>
      <c r="L68">
        <v>-146.98614382743801</v>
      </c>
      <c r="M68">
        <v>146.98614382743801</v>
      </c>
      <c r="N68" s="3">
        <v>8.2900072619139301E-6</v>
      </c>
      <c r="O68" s="2" t="s">
        <v>139</v>
      </c>
      <c r="P68" s="2" t="s">
        <v>146</v>
      </c>
      <c r="Q68" s="1" t="s">
        <v>143</v>
      </c>
      <c r="R68" s="1" t="s">
        <v>148</v>
      </c>
      <c r="T68">
        <f t="shared" si="1"/>
        <v>-10.362489208633107</v>
      </c>
    </row>
    <row r="69" spans="1:20" x14ac:dyDescent="0.3">
      <c r="A69">
        <v>68</v>
      </c>
      <c r="B69">
        <v>1</v>
      </c>
      <c r="C69">
        <v>1773051921.34531</v>
      </c>
      <c r="D69">
        <v>1773052014.5481999</v>
      </c>
      <c r="E69">
        <v>93.202885098743295</v>
      </c>
      <c r="F69">
        <v>1773052051</v>
      </c>
      <c r="G69">
        <v>1773052116</v>
      </c>
      <c r="H69">
        <v>64.257999999999996</v>
      </c>
      <c r="I69">
        <v>28.944885098743299</v>
      </c>
      <c r="J69">
        <v>28.944885098743299</v>
      </c>
      <c r="K69">
        <v>36.764540070496899</v>
      </c>
      <c r="L69">
        <v>-101.45179963111801</v>
      </c>
      <c r="M69">
        <v>101.45179963111801</v>
      </c>
      <c r="N69" s="3">
        <v>5.7218736898983902E-6</v>
      </c>
      <c r="O69" s="2" t="s">
        <v>144</v>
      </c>
      <c r="P69" s="2" t="s">
        <v>149</v>
      </c>
      <c r="Q69" s="1" t="s">
        <v>150</v>
      </c>
      <c r="R69" s="1" t="s">
        <v>151</v>
      </c>
      <c r="T69">
        <f t="shared" si="1"/>
        <v>-28.944885098743299</v>
      </c>
    </row>
    <row r="70" spans="1:20" x14ac:dyDescent="0.3">
      <c r="A70">
        <v>69</v>
      </c>
      <c r="B70">
        <v>4</v>
      </c>
      <c r="C70">
        <v>1773051931.1206701</v>
      </c>
      <c r="D70">
        <v>1773052024.2716801</v>
      </c>
      <c r="E70">
        <v>93.151012544802896</v>
      </c>
      <c r="F70">
        <v>1773052080</v>
      </c>
      <c r="G70">
        <v>1773052158</v>
      </c>
      <c r="H70">
        <v>77.992000000000004</v>
      </c>
      <c r="I70">
        <v>15.1590125448029</v>
      </c>
      <c r="J70">
        <v>15.1590125448029</v>
      </c>
      <c r="K70">
        <v>17.7150236160935</v>
      </c>
      <c r="L70">
        <v>-133.72831583023</v>
      </c>
      <c r="M70">
        <v>133.72831583023</v>
      </c>
      <c r="N70" s="3">
        <v>7.5422666090178098E-6</v>
      </c>
      <c r="O70" s="2" t="s">
        <v>142</v>
      </c>
      <c r="P70" s="2" t="s">
        <v>138</v>
      </c>
      <c r="Q70" s="1" t="s">
        <v>147</v>
      </c>
      <c r="R70" s="1" t="s">
        <v>152</v>
      </c>
      <c r="T70">
        <f t="shared" si="1"/>
        <v>-15.159012544802891</v>
      </c>
    </row>
    <row r="71" spans="1:20" x14ac:dyDescent="0.3">
      <c r="A71">
        <v>70</v>
      </c>
      <c r="B71">
        <v>3</v>
      </c>
      <c r="C71">
        <v>1773051977.7342</v>
      </c>
      <c r="D71">
        <v>1773052070.8580899</v>
      </c>
      <c r="E71">
        <v>93.123894454382807</v>
      </c>
      <c r="F71">
        <v>1773052115</v>
      </c>
      <c r="G71">
        <v>1773052169</v>
      </c>
      <c r="H71">
        <v>53.945999999999998</v>
      </c>
      <c r="I71">
        <v>39.177894454382802</v>
      </c>
      <c r="J71">
        <v>39.177894454382802</v>
      </c>
      <c r="K71">
        <v>53.277925573727501</v>
      </c>
      <c r="L71">
        <v>-98.141905069351196</v>
      </c>
      <c r="M71">
        <v>98.141905069351196</v>
      </c>
      <c r="N71" s="3">
        <v>5.5351957207709403E-6</v>
      </c>
      <c r="O71" s="2" t="s">
        <v>146</v>
      </c>
      <c r="P71" s="2" t="s">
        <v>153</v>
      </c>
      <c r="Q71" s="1" t="s">
        <v>154</v>
      </c>
      <c r="R71" s="1" t="s">
        <v>155</v>
      </c>
      <c r="T71">
        <f t="shared" si="1"/>
        <v>-39.177894454382809</v>
      </c>
    </row>
    <row r="72" spans="1:20" x14ac:dyDescent="0.3">
      <c r="A72">
        <v>71</v>
      </c>
      <c r="B72">
        <v>2</v>
      </c>
      <c r="C72">
        <v>1773051978.01385</v>
      </c>
      <c r="D72">
        <v>1773052071.06779</v>
      </c>
      <c r="E72">
        <v>93.053933928571396</v>
      </c>
      <c r="F72">
        <v>1773052125</v>
      </c>
      <c r="G72">
        <v>1773052184</v>
      </c>
      <c r="H72">
        <v>58.57</v>
      </c>
      <c r="I72">
        <v>34.483933928571403</v>
      </c>
      <c r="J72">
        <v>34.483933928571403</v>
      </c>
      <c r="K72">
        <v>45.486135381260397</v>
      </c>
      <c r="L72">
        <v>-112.932209968566</v>
      </c>
      <c r="M72">
        <v>112.932209968566</v>
      </c>
      <c r="N72" s="3">
        <v>6.3693677255638301E-6</v>
      </c>
      <c r="O72" s="2" t="s">
        <v>146</v>
      </c>
      <c r="P72" s="2" t="s">
        <v>153</v>
      </c>
      <c r="Q72" s="1" t="s">
        <v>148</v>
      </c>
      <c r="R72" s="1" t="s">
        <v>156</v>
      </c>
      <c r="T72">
        <f t="shared" si="1"/>
        <v>-34.483933928571396</v>
      </c>
    </row>
    <row r="73" spans="1:20" x14ac:dyDescent="0.3">
      <c r="A73">
        <v>72</v>
      </c>
      <c r="B73">
        <v>1</v>
      </c>
      <c r="C73">
        <v>1773052014.5481999</v>
      </c>
      <c r="D73">
        <v>1773052107.5406599</v>
      </c>
      <c r="E73">
        <v>92.992465240641707</v>
      </c>
      <c r="F73">
        <v>1773052136</v>
      </c>
      <c r="G73">
        <v>1773052200</v>
      </c>
      <c r="H73">
        <v>64.150000000000006</v>
      </c>
      <c r="I73">
        <v>28.842465240641701</v>
      </c>
      <c r="J73">
        <v>28.842465240641701</v>
      </c>
      <c r="K73">
        <v>36.708683673090498</v>
      </c>
      <c r="L73">
        <v>-92.459334373474107</v>
      </c>
      <c r="M73">
        <v>92.459334373474107</v>
      </c>
      <c r="N73" s="3">
        <v>5.2146990812911199E-6</v>
      </c>
      <c r="O73" s="2" t="s">
        <v>149</v>
      </c>
      <c r="P73" s="2" t="s">
        <v>157</v>
      </c>
      <c r="Q73" s="1" t="s">
        <v>145</v>
      </c>
      <c r="R73" s="1" t="s">
        <v>158</v>
      </c>
      <c r="T73">
        <f t="shared" si="1"/>
        <v>-28.842465240641701</v>
      </c>
    </row>
    <row r="74" spans="1:20" x14ac:dyDescent="0.3">
      <c r="A74">
        <v>73</v>
      </c>
      <c r="B74">
        <v>4</v>
      </c>
      <c r="C74">
        <v>1773052024.2716801</v>
      </c>
      <c r="D74">
        <v>1773052066.8318601</v>
      </c>
      <c r="E74">
        <v>42.560176781002603</v>
      </c>
      <c r="F74">
        <v>1773052158</v>
      </c>
      <c r="G74">
        <v>1773052277</v>
      </c>
      <c r="H74">
        <v>118.616</v>
      </c>
      <c r="I74">
        <v>-76.055823218997304</v>
      </c>
      <c r="J74">
        <v>76.055823218997304</v>
      </c>
      <c r="K74">
        <v>94.376011068109406</v>
      </c>
      <c r="L74">
        <v>-210.168138980865</v>
      </c>
      <c r="M74">
        <v>210.168138980865</v>
      </c>
      <c r="N74" s="3">
        <v>1.1853466147798701E-5</v>
      </c>
      <c r="O74" s="2" t="s">
        <v>138</v>
      </c>
      <c r="P74" s="2" t="s">
        <v>159</v>
      </c>
      <c r="Q74" s="1" t="s">
        <v>152</v>
      </c>
      <c r="R74" s="1" t="s">
        <v>160</v>
      </c>
      <c r="T74">
        <f t="shared" si="1"/>
        <v>76.055823218997404</v>
      </c>
    </row>
    <row r="75" spans="1:20" x14ac:dyDescent="0.3">
      <c r="A75">
        <v>74</v>
      </c>
      <c r="B75">
        <v>4</v>
      </c>
      <c r="C75">
        <v>1773052066.8318601</v>
      </c>
      <c r="D75">
        <v>1773052159.773</v>
      </c>
      <c r="E75">
        <v>92.941144128113905</v>
      </c>
      <c r="F75">
        <v>1773052169</v>
      </c>
      <c r="G75">
        <v>1773052204</v>
      </c>
      <c r="H75">
        <v>34.582000000000001</v>
      </c>
      <c r="I75">
        <v>58.359144128113897</v>
      </c>
      <c r="J75">
        <v>58.359144128113897</v>
      </c>
      <c r="K75">
        <v>91.527141252860602</v>
      </c>
      <c r="L75">
        <v>-44.226994752883897</v>
      </c>
      <c r="M75">
        <v>44.226994752883897</v>
      </c>
      <c r="N75" s="3">
        <v>2.4943989356154701E-6</v>
      </c>
      <c r="O75" s="2" t="s">
        <v>159</v>
      </c>
      <c r="P75" s="2" t="s">
        <v>161</v>
      </c>
      <c r="Q75" s="1" t="s">
        <v>155</v>
      </c>
      <c r="R75" s="1" t="s">
        <v>162</v>
      </c>
      <c r="T75">
        <f t="shared" si="1"/>
        <v>-58.359144128113904</v>
      </c>
    </row>
    <row r="76" spans="1:20" x14ac:dyDescent="0.3">
      <c r="A76">
        <v>75</v>
      </c>
      <c r="B76">
        <v>3</v>
      </c>
      <c r="C76">
        <v>1773052070.8580899</v>
      </c>
      <c r="D76">
        <v>1773052163.69558</v>
      </c>
      <c r="E76">
        <v>92.837486678508</v>
      </c>
      <c r="F76">
        <v>1773052184</v>
      </c>
      <c r="G76">
        <v>1773052240</v>
      </c>
      <c r="H76">
        <v>55.661999999999999</v>
      </c>
      <c r="I76">
        <v>37.175486678508001</v>
      </c>
      <c r="J76">
        <v>37.175486678508001</v>
      </c>
      <c r="K76">
        <v>50.068168597768398</v>
      </c>
      <c r="L76">
        <v>-76.304418325424194</v>
      </c>
      <c r="M76">
        <v>76.304418325424194</v>
      </c>
      <c r="N76" s="3">
        <v>4.3035629884953904E-6</v>
      </c>
      <c r="O76" s="2" t="s">
        <v>153</v>
      </c>
      <c r="P76" s="2" t="s">
        <v>163</v>
      </c>
      <c r="Q76" s="1" t="s">
        <v>156</v>
      </c>
      <c r="R76" s="1" t="s">
        <v>164</v>
      </c>
      <c r="T76">
        <f t="shared" si="1"/>
        <v>-37.175486678508001</v>
      </c>
    </row>
    <row r="77" spans="1:20" x14ac:dyDescent="0.3">
      <c r="A77">
        <v>76</v>
      </c>
      <c r="B77">
        <v>2</v>
      </c>
      <c r="C77">
        <v>1773052071.06779</v>
      </c>
      <c r="D77">
        <v>1773052163.83936</v>
      </c>
      <c r="E77">
        <v>92.771572695035502</v>
      </c>
      <c r="F77">
        <v>1773052200</v>
      </c>
      <c r="G77">
        <v>1773052282</v>
      </c>
      <c r="H77">
        <v>82.242000000000004</v>
      </c>
      <c r="I77">
        <v>10.5295726950354</v>
      </c>
      <c r="J77">
        <v>10.5295726950354</v>
      </c>
      <c r="K77">
        <v>12.032864117782999</v>
      </c>
      <c r="L77">
        <v>-118.160637378692</v>
      </c>
      <c r="M77">
        <v>118.160637378692</v>
      </c>
      <c r="N77" s="3">
        <v>6.6642502601597202E-6</v>
      </c>
      <c r="O77" s="2" t="s">
        <v>153</v>
      </c>
      <c r="P77" s="2" t="s">
        <v>163</v>
      </c>
      <c r="Q77" s="1" t="s">
        <v>158</v>
      </c>
      <c r="R77" s="1" t="s">
        <v>165</v>
      </c>
      <c r="T77">
        <f t="shared" si="1"/>
        <v>-10.529572695035498</v>
      </c>
    </row>
    <row r="78" spans="1:20" x14ac:dyDescent="0.3">
      <c r="A78">
        <v>77</v>
      </c>
      <c r="B78">
        <v>1</v>
      </c>
      <c r="C78">
        <v>1773052107.5406599</v>
      </c>
      <c r="D78">
        <v>1773052164.7885201</v>
      </c>
      <c r="E78">
        <v>57.247858660130603</v>
      </c>
      <c r="F78">
        <v>1773052204</v>
      </c>
      <c r="G78">
        <v>1773052325</v>
      </c>
      <c r="H78">
        <v>121.71</v>
      </c>
      <c r="I78">
        <v>-64.462141339869305</v>
      </c>
      <c r="J78">
        <v>64.462141339869305</v>
      </c>
      <c r="K78">
        <v>72.041699450922906</v>
      </c>
      <c r="L78">
        <v>-160.211475610733</v>
      </c>
      <c r="M78">
        <v>160.211475610733</v>
      </c>
      <c r="N78" s="3">
        <v>9.0359139767078502E-6</v>
      </c>
      <c r="O78" s="2" t="s">
        <v>157</v>
      </c>
      <c r="P78" s="2" t="s">
        <v>166</v>
      </c>
      <c r="Q78" s="1" t="s">
        <v>162</v>
      </c>
      <c r="R78" s="1" t="s">
        <v>167</v>
      </c>
      <c r="T78">
        <f t="shared" si="1"/>
        <v>64.46214133986939</v>
      </c>
    </row>
    <row r="79" spans="1:20" x14ac:dyDescent="0.3">
      <c r="A79">
        <v>78</v>
      </c>
      <c r="B79">
        <v>4</v>
      </c>
      <c r="C79">
        <v>1773052159.773</v>
      </c>
      <c r="D79">
        <v>1773052202.53332</v>
      </c>
      <c r="E79">
        <v>42.760323684210498</v>
      </c>
      <c r="F79">
        <v>1773052239</v>
      </c>
      <c r="G79">
        <v>1773052290</v>
      </c>
      <c r="H79">
        <v>50.738</v>
      </c>
      <c r="I79">
        <v>-7.9776763157894903</v>
      </c>
      <c r="J79">
        <v>7.9776763157894903</v>
      </c>
      <c r="K79">
        <v>17.064854216496901</v>
      </c>
      <c r="L79">
        <v>-87.466670989990206</v>
      </c>
      <c r="M79">
        <v>87.466670989990206</v>
      </c>
      <c r="N79" s="3">
        <v>4.9331130074796101E-6</v>
      </c>
      <c r="O79" s="2" t="s">
        <v>161</v>
      </c>
      <c r="P79" s="2" t="s">
        <v>168</v>
      </c>
      <c r="Q79" s="1" t="s">
        <v>169</v>
      </c>
      <c r="R79" s="1" t="s">
        <v>170</v>
      </c>
      <c r="T79">
        <f t="shared" si="1"/>
        <v>7.9776763157895019</v>
      </c>
    </row>
    <row r="80" spans="1:20" x14ac:dyDescent="0.3">
      <c r="A80">
        <v>79</v>
      </c>
      <c r="B80">
        <v>3</v>
      </c>
      <c r="C80">
        <v>1773052163.69558</v>
      </c>
      <c r="D80">
        <v>1773052206.47684</v>
      </c>
      <c r="E80">
        <v>42.781262467191503</v>
      </c>
      <c r="F80">
        <v>1773052277</v>
      </c>
      <c r="G80">
        <v>1773052318</v>
      </c>
      <c r="H80">
        <v>40.99</v>
      </c>
      <c r="I80">
        <v>1.79126246719157</v>
      </c>
      <c r="J80">
        <v>1.79126246719157</v>
      </c>
      <c r="K80">
        <v>4.2765559797863002</v>
      </c>
      <c r="L80">
        <v>-111.523155927658</v>
      </c>
      <c r="M80">
        <v>111.523155927658</v>
      </c>
      <c r="N80" s="3">
        <v>6.2898967110458204E-6</v>
      </c>
      <c r="O80" s="2" t="s">
        <v>163</v>
      </c>
      <c r="P80" s="2" t="s">
        <v>171</v>
      </c>
      <c r="Q80" s="1" t="s">
        <v>160</v>
      </c>
      <c r="R80" s="1" t="s">
        <v>172</v>
      </c>
      <c r="T80">
        <f t="shared" si="1"/>
        <v>-1.7912624671915012</v>
      </c>
    </row>
    <row r="81" spans="1:20" x14ac:dyDescent="0.3">
      <c r="A81">
        <v>80</v>
      </c>
      <c r="B81">
        <v>2</v>
      </c>
      <c r="C81">
        <v>1773052163.83936</v>
      </c>
      <c r="D81">
        <v>1773052206.6159301</v>
      </c>
      <c r="E81">
        <v>42.776573298429298</v>
      </c>
      <c r="F81">
        <v>1773052282</v>
      </c>
      <c r="G81">
        <v>1773052336</v>
      </c>
      <c r="H81">
        <v>54.497999999999998</v>
      </c>
      <c r="I81">
        <v>-11.721426701570699</v>
      </c>
      <c r="J81">
        <v>11.721426701570699</v>
      </c>
      <c r="K81">
        <v>24.099672307192598</v>
      </c>
      <c r="L81">
        <v>-129.38406419754</v>
      </c>
      <c r="M81">
        <v>129.38406419754</v>
      </c>
      <c r="N81" s="3">
        <v>7.2972504133842904E-6</v>
      </c>
      <c r="O81" s="2" t="s">
        <v>163</v>
      </c>
      <c r="P81" s="2" t="s">
        <v>173</v>
      </c>
      <c r="Q81" s="1" t="s">
        <v>165</v>
      </c>
      <c r="R81" s="1" t="s">
        <v>174</v>
      </c>
      <c r="T81">
        <f t="shared" si="1"/>
        <v>11.721426701570699</v>
      </c>
    </row>
    <row r="82" spans="1:20" x14ac:dyDescent="0.3">
      <c r="A82">
        <v>81</v>
      </c>
      <c r="B82">
        <v>1</v>
      </c>
      <c r="C82">
        <v>1773052164.7885201</v>
      </c>
      <c r="D82">
        <v>1773052257.54146</v>
      </c>
      <c r="E82">
        <v>92.752936283185804</v>
      </c>
      <c r="F82">
        <v>1773052290</v>
      </c>
      <c r="G82">
        <v>1773052362</v>
      </c>
      <c r="H82">
        <v>71.611000000000004</v>
      </c>
      <c r="I82">
        <v>21.1419362831858</v>
      </c>
      <c r="J82">
        <v>21.1419362831858</v>
      </c>
      <c r="K82">
        <v>25.725760481618</v>
      </c>
      <c r="L82">
        <v>-104.45853924751199</v>
      </c>
      <c r="M82">
        <v>104.45853924751199</v>
      </c>
      <c r="N82" s="3">
        <v>5.8914527604106602E-6</v>
      </c>
      <c r="O82" s="2" t="s">
        <v>166</v>
      </c>
      <c r="P82" s="2" t="s">
        <v>175</v>
      </c>
      <c r="Q82" s="1" t="s">
        <v>170</v>
      </c>
      <c r="R82" s="1" t="s">
        <v>176</v>
      </c>
      <c r="T82">
        <f t="shared" si="1"/>
        <v>-21.1419362831858</v>
      </c>
    </row>
    <row r="83" spans="1:20" x14ac:dyDescent="0.3">
      <c r="A83">
        <v>82</v>
      </c>
      <c r="B83">
        <v>4</v>
      </c>
      <c r="C83">
        <v>1773052202.53332</v>
      </c>
      <c r="D83">
        <v>1773052295.24891</v>
      </c>
      <c r="E83">
        <v>92.715583038869298</v>
      </c>
      <c r="F83">
        <v>1773052318</v>
      </c>
      <c r="G83">
        <v>1773052375</v>
      </c>
      <c r="H83">
        <v>57.381999999999998</v>
      </c>
      <c r="I83">
        <v>35.3335830388693</v>
      </c>
      <c r="J83">
        <v>35.3335830388693</v>
      </c>
      <c r="K83">
        <v>47.0808154581933</v>
      </c>
      <c r="L83">
        <v>-79.751087903976398</v>
      </c>
      <c r="M83">
        <v>79.751087903976398</v>
      </c>
      <c r="N83" s="3">
        <v>4.4979545343413903E-6</v>
      </c>
      <c r="O83" s="2" t="s">
        <v>168</v>
      </c>
      <c r="P83" s="2" t="s">
        <v>177</v>
      </c>
      <c r="Q83" s="1" t="s">
        <v>172</v>
      </c>
      <c r="R83" s="1" t="s">
        <v>178</v>
      </c>
      <c r="T83">
        <f t="shared" si="1"/>
        <v>-35.3335830388693</v>
      </c>
    </row>
    <row r="84" spans="1:20" x14ac:dyDescent="0.3">
      <c r="A84">
        <v>83</v>
      </c>
      <c r="B84">
        <v>3</v>
      </c>
      <c r="C84">
        <v>1773052206.47684</v>
      </c>
      <c r="D84">
        <v>1773052299.13011</v>
      </c>
      <c r="E84">
        <v>92.653266313933003</v>
      </c>
      <c r="F84">
        <v>1773052325</v>
      </c>
      <c r="G84">
        <v>1773052382</v>
      </c>
      <c r="H84">
        <v>56.749000000000002</v>
      </c>
      <c r="I84">
        <v>35.904266313933</v>
      </c>
      <c r="J84">
        <v>35.904266313933</v>
      </c>
      <c r="K84">
        <v>48.063884437320098</v>
      </c>
      <c r="L84">
        <v>-82.869889497756901</v>
      </c>
      <c r="M84">
        <v>82.869889497756901</v>
      </c>
      <c r="N84" s="3">
        <v>4.6738546630466103E-6</v>
      </c>
      <c r="O84" s="2" t="s">
        <v>171</v>
      </c>
      <c r="P84" s="2" t="s">
        <v>179</v>
      </c>
      <c r="Q84" s="1" t="s">
        <v>167</v>
      </c>
      <c r="R84" s="1" t="s">
        <v>180</v>
      </c>
      <c r="T84">
        <f t="shared" si="1"/>
        <v>-35.904266313933</v>
      </c>
    </row>
    <row r="85" spans="1:20" x14ac:dyDescent="0.3">
      <c r="A85">
        <v>84</v>
      </c>
      <c r="B85">
        <v>2</v>
      </c>
      <c r="C85">
        <v>1773052206.6159301</v>
      </c>
      <c r="D85">
        <v>1773052299.2059901</v>
      </c>
      <c r="E85">
        <v>92.590054577464798</v>
      </c>
      <c r="F85">
        <v>1773052336</v>
      </c>
      <c r="G85">
        <v>1773052393</v>
      </c>
      <c r="H85">
        <v>56.865000000000002</v>
      </c>
      <c r="I85">
        <v>35.725054577464803</v>
      </c>
      <c r="J85">
        <v>35.725054577464803</v>
      </c>
      <c r="K85">
        <v>47.807087794341498</v>
      </c>
      <c r="L85">
        <v>-93.794009685516301</v>
      </c>
      <c r="M85">
        <v>93.794009685516301</v>
      </c>
      <c r="N85" s="3">
        <v>5.2899740885635304E-6</v>
      </c>
      <c r="O85" s="2" t="s">
        <v>173</v>
      </c>
      <c r="P85" s="2" t="s">
        <v>179</v>
      </c>
      <c r="Q85" s="1" t="s">
        <v>174</v>
      </c>
      <c r="R85" s="1" t="s">
        <v>181</v>
      </c>
      <c r="T85">
        <f t="shared" si="1"/>
        <v>-35.725054577464796</v>
      </c>
    </row>
    <row r="86" spans="1:20" x14ac:dyDescent="0.3">
      <c r="A86">
        <v>85</v>
      </c>
      <c r="B86">
        <v>1</v>
      </c>
      <c r="C86">
        <v>1773052257.54146</v>
      </c>
      <c r="D86">
        <v>1773052300.34863</v>
      </c>
      <c r="E86">
        <v>42.8071775456918</v>
      </c>
      <c r="F86">
        <v>1773052361</v>
      </c>
      <c r="G86">
        <v>1773052398</v>
      </c>
      <c r="H86">
        <v>36.167000000000002</v>
      </c>
      <c r="I86">
        <v>6.6401775456918797</v>
      </c>
      <c r="J86">
        <v>6.6401775456918797</v>
      </c>
      <c r="K86">
        <v>16.8160726760341</v>
      </c>
      <c r="L86">
        <v>-97.651361703872595</v>
      </c>
      <c r="M86">
        <v>97.651361703872595</v>
      </c>
      <c r="N86" s="3">
        <v>5.5075284014793599E-6</v>
      </c>
      <c r="O86" s="2" t="s">
        <v>175</v>
      </c>
      <c r="P86" s="2" t="s">
        <v>182</v>
      </c>
      <c r="Q86" s="1" t="s">
        <v>183</v>
      </c>
      <c r="R86" s="1" t="s">
        <v>184</v>
      </c>
      <c r="T86">
        <f t="shared" si="1"/>
        <v>-6.6401775456917989</v>
      </c>
    </row>
    <row r="87" spans="1:20" x14ac:dyDescent="0.3">
      <c r="A87">
        <v>86</v>
      </c>
      <c r="B87">
        <v>4</v>
      </c>
      <c r="C87">
        <v>1773052295.24891</v>
      </c>
      <c r="D87">
        <v>1773052338.03879</v>
      </c>
      <c r="E87">
        <v>42.7898854166666</v>
      </c>
      <c r="F87">
        <v>1773052375</v>
      </c>
      <c r="G87">
        <v>1773052491</v>
      </c>
      <c r="H87">
        <v>115.643</v>
      </c>
      <c r="I87">
        <v>-72.853114583333294</v>
      </c>
      <c r="J87">
        <v>72.853114583333294</v>
      </c>
      <c r="K87">
        <v>91.967162488690505</v>
      </c>
      <c r="L87">
        <v>-152.96120238304101</v>
      </c>
      <c r="M87">
        <v>152.96120238304101</v>
      </c>
      <c r="N87" s="3">
        <v>8.6269983408529292E-6</v>
      </c>
      <c r="O87" s="2" t="s">
        <v>177</v>
      </c>
      <c r="P87" s="2" t="s">
        <v>185</v>
      </c>
      <c r="Q87" s="1" t="s">
        <v>178</v>
      </c>
      <c r="R87" s="1" t="s">
        <v>186</v>
      </c>
      <c r="T87">
        <f t="shared" si="1"/>
        <v>72.853114583333394</v>
      </c>
    </row>
    <row r="88" spans="1:20" x14ac:dyDescent="0.3">
      <c r="A88">
        <v>87</v>
      </c>
      <c r="B88">
        <v>3</v>
      </c>
      <c r="C88">
        <v>1773052299.13011</v>
      </c>
      <c r="D88">
        <v>1773052356.4305899</v>
      </c>
      <c r="E88">
        <v>57.300480816326399</v>
      </c>
      <c r="F88">
        <v>1773052381</v>
      </c>
      <c r="G88">
        <v>1773052452</v>
      </c>
      <c r="H88">
        <v>70.22</v>
      </c>
      <c r="I88">
        <v>-12.919519183673501</v>
      </c>
      <c r="J88">
        <v>12.919519183673501</v>
      </c>
      <c r="K88">
        <v>20.262657576208699</v>
      </c>
      <c r="L88">
        <v>-95.569408655166598</v>
      </c>
      <c r="M88">
        <v>95.569408655166598</v>
      </c>
      <c r="N88" s="3">
        <v>5.39010626126772E-6</v>
      </c>
      <c r="O88" s="2" t="s">
        <v>179</v>
      </c>
      <c r="P88" s="2" t="s">
        <v>187</v>
      </c>
      <c r="Q88" s="1" t="s">
        <v>188</v>
      </c>
      <c r="R88" s="1" t="s">
        <v>189</v>
      </c>
      <c r="T88">
        <f t="shared" si="1"/>
        <v>12.9195191836736</v>
      </c>
    </row>
    <row r="89" spans="1:20" x14ac:dyDescent="0.3">
      <c r="A89">
        <v>88</v>
      </c>
      <c r="B89">
        <v>2</v>
      </c>
      <c r="C89">
        <v>1773052299.2059901</v>
      </c>
      <c r="D89">
        <v>1773052342.1851001</v>
      </c>
      <c r="E89">
        <v>42.979114285714203</v>
      </c>
      <c r="F89">
        <v>1773052393</v>
      </c>
      <c r="G89">
        <v>1773052430</v>
      </c>
      <c r="H89">
        <v>36.491</v>
      </c>
      <c r="I89">
        <v>6.4881142857142597</v>
      </c>
      <c r="J89">
        <v>6.4881142857142597</v>
      </c>
      <c r="K89">
        <v>16.328438291627201</v>
      </c>
      <c r="L89">
        <v>-87.814895391464205</v>
      </c>
      <c r="M89">
        <v>87.814895391464205</v>
      </c>
      <c r="N89" s="3">
        <v>4.95275244433078E-6</v>
      </c>
      <c r="O89" s="2" t="s">
        <v>179</v>
      </c>
      <c r="P89" s="2" t="s">
        <v>190</v>
      </c>
      <c r="Q89" s="1" t="s">
        <v>181</v>
      </c>
      <c r="R89" s="1" t="s">
        <v>191</v>
      </c>
      <c r="T89">
        <f t="shared" si="1"/>
        <v>-6.4881142857142038</v>
      </c>
    </row>
    <row r="90" spans="1:20" x14ac:dyDescent="0.3">
      <c r="A90">
        <v>89</v>
      </c>
      <c r="B90">
        <v>1</v>
      </c>
      <c r="C90">
        <v>1773052300.34863</v>
      </c>
      <c r="D90">
        <v>1773052357.6596501</v>
      </c>
      <c r="E90">
        <v>57.311018760195601</v>
      </c>
      <c r="F90">
        <v>1773052398</v>
      </c>
      <c r="G90">
        <v>1773052443</v>
      </c>
      <c r="H90">
        <v>45.317</v>
      </c>
      <c r="I90">
        <v>11.994018760195599</v>
      </c>
      <c r="J90">
        <v>11.994018760195599</v>
      </c>
      <c r="K90">
        <v>23.373770448051399</v>
      </c>
      <c r="L90">
        <v>-85.340342998504596</v>
      </c>
      <c r="M90">
        <v>85.340342998504596</v>
      </c>
      <c r="N90" s="3">
        <v>4.8131878664516199E-6</v>
      </c>
      <c r="O90" s="2" t="s">
        <v>182</v>
      </c>
      <c r="P90" s="2" t="s">
        <v>192</v>
      </c>
      <c r="Q90" s="1" t="s">
        <v>184</v>
      </c>
      <c r="R90" s="1" t="s">
        <v>193</v>
      </c>
      <c r="T90">
        <f t="shared" si="1"/>
        <v>-11.994018760195601</v>
      </c>
    </row>
    <row r="91" spans="1:20" x14ac:dyDescent="0.3">
      <c r="A91">
        <v>90</v>
      </c>
      <c r="B91">
        <v>4</v>
      </c>
      <c r="C91">
        <v>1773052338.03879</v>
      </c>
      <c r="D91">
        <v>1773052395.34004</v>
      </c>
      <c r="E91">
        <v>57.301243683781401</v>
      </c>
      <c r="F91">
        <v>1773052430</v>
      </c>
      <c r="G91">
        <v>1773052466</v>
      </c>
      <c r="H91">
        <v>36.069000000000003</v>
      </c>
      <c r="I91">
        <v>21.232243683781402</v>
      </c>
      <c r="J91">
        <v>21.232243683781402</v>
      </c>
      <c r="K91">
        <v>45.4796792770275</v>
      </c>
      <c r="L91">
        <v>-70.659958600997896</v>
      </c>
      <c r="M91">
        <v>70.659958600997896</v>
      </c>
      <c r="N91" s="3">
        <v>3.9852154047298002E-6</v>
      </c>
      <c r="O91" s="2" t="s">
        <v>185</v>
      </c>
      <c r="P91" s="2" t="s">
        <v>194</v>
      </c>
      <c r="Q91" s="1" t="s">
        <v>191</v>
      </c>
      <c r="R91" s="1" t="s">
        <v>195</v>
      </c>
      <c r="T91">
        <f t="shared" si="1"/>
        <v>-21.232243683781398</v>
      </c>
    </row>
    <row r="92" spans="1:20" x14ac:dyDescent="0.3">
      <c r="A92">
        <v>91</v>
      </c>
      <c r="B92">
        <v>2</v>
      </c>
      <c r="C92">
        <v>1773052342.1851001</v>
      </c>
      <c r="D92">
        <v>1773052399.4690499</v>
      </c>
      <c r="E92">
        <v>57.283953583061702</v>
      </c>
      <c r="F92">
        <v>1773052443</v>
      </c>
      <c r="G92">
        <v>1773052568</v>
      </c>
      <c r="H92">
        <v>125.39</v>
      </c>
      <c r="I92">
        <v>-68.106046416938199</v>
      </c>
      <c r="J92">
        <v>68.106046416938199</v>
      </c>
      <c r="K92">
        <v>74.565689394761407</v>
      </c>
      <c r="L92">
        <v>-168.53094172477699</v>
      </c>
      <c r="M92">
        <v>168.53094172477699</v>
      </c>
      <c r="N92" s="3">
        <v>9.5051298972157505E-6</v>
      </c>
      <c r="O92" s="2" t="s">
        <v>190</v>
      </c>
      <c r="P92" s="2" t="s">
        <v>196</v>
      </c>
      <c r="Q92" s="1" t="s">
        <v>193</v>
      </c>
      <c r="R92" s="1" t="s">
        <v>197</v>
      </c>
      <c r="T92">
        <f t="shared" si="1"/>
        <v>68.106046416938298</v>
      </c>
    </row>
    <row r="93" spans="1:20" x14ac:dyDescent="0.3">
      <c r="A93">
        <v>92</v>
      </c>
      <c r="B93">
        <v>3</v>
      </c>
      <c r="C93">
        <v>1773052356.4305899</v>
      </c>
      <c r="D93">
        <v>1773052399.39289</v>
      </c>
      <c r="E93">
        <v>42.962305699481803</v>
      </c>
      <c r="F93">
        <v>1773052452</v>
      </c>
      <c r="G93">
        <v>1773052489</v>
      </c>
      <c r="H93">
        <v>37.015999999999998</v>
      </c>
      <c r="I93">
        <v>5.9463056994818402</v>
      </c>
      <c r="J93">
        <v>5.9463056994818402</v>
      </c>
      <c r="K93">
        <v>14.8697966216615</v>
      </c>
      <c r="L93">
        <v>-89.607102870941105</v>
      </c>
      <c r="M93">
        <v>89.607102870941105</v>
      </c>
      <c r="N93" s="3">
        <v>5.0538326243108496E-6</v>
      </c>
      <c r="O93" s="2" t="s">
        <v>187</v>
      </c>
      <c r="P93" s="2" t="s">
        <v>196</v>
      </c>
      <c r="Q93" s="1" t="s">
        <v>189</v>
      </c>
      <c r="R93" s="1" t="s">
        <v>198</v>
      </c>
      <c r="T93">
        <f t="shared" si="1"/>
        <v>-5.9463056994818047</v>
      </c>
    </row>
    <row r="94" spans="1:20" x14ac:dyDescent="0.3">
      <c r="A94">
        <v>93</v>
      </c>
      <c r="B94">
        <v>1</v>
      </c>
      <c r="C94">
        <v>1773052357.6596501</v>
      </c>
      <c r="D94">
        <v>1773052400.60659</v>
      </c>
      <c r="E94">
        <v>42.946940568475398</v>
      </c>
      <c r="F94">
        <v>1773052466</v>
      </c>
      <c r="G94">
        <v>1773052514</v>
      </c>
      <c r="H94">
        <v>48.18</v>
      </c>
      <c r="I94">
        <v>-5.23305943152456</v>
      </c>
      <c r="J94">
        <v>5.23305943152456</v>
      </c>
      <c r="K94">
        <v>11.485208213683601</v>
      </c>
      <c r="L94">
        <v>-113.393402338027</v>
      </c>
      <c r="M94">
        <v>113.393402338027</v>
      </c>
      <c r="N94" s="3">
        <v>6.3953777493133E-6</v>
      </c>
      <c r="O94" s="2" t="s">
        <v>192</v>
      </c>
      <c r="P94" s="2" t="s">
        <v>199</v>
      </c>
      <c r="Q94" s="1" t="s">
        <v>195</v>
      </c>
      <c r="R94" s="1" t="s">
        <v>200</v>
      </c>
      <c r="T94">
        <f t="shared" si="1"/>
        <v>5.2330594315246017</v>
      </c>
    </row>
    <row r="95" spans="1:20" x14ac:dyDescent="0.3">
      <c r="A95">
        <v>94</v>
      </c>
      <c r="B95">
        <v>4</v>
      </c>
      <c r="C95">
        <v>1773052395.34004</v>
      </c>
      <c r="D95">
        <v>1773052438.3004601</v>
      </c>
      <c r="E95">
        <v>42.960427835051497</v>
      </c>
      <c r="F95">
        <v>1773052489</v>
      </c>
      <c r="G95">
        <v>1773052526</v>
      </c>
      <c r="H95">
        <v>37.222000000000001</v>
      </c>
      <c r="I95">
        <v>5.7384278350515201</v>
      </c>
      <c r="J95">
        <v>5.7384278350515201</v>
      </c>
      <c r="K95">
        <v>14.31342998707</v>
      </c>
      <c r="L95">
        <v>-87.699530839920001</v>
      </c>
      <c r="M95">
        <v>87.699530839920001</v>
      </c>
      <c r="N95" s="3">
        <v>4.9462456257112103E-6</v>
      </c>
      <c r="O95" s="2" t="s">
        <v>194</v>
      </c>
      <c r="P95" s="2" t="s">
        <v>201</v>
      </c>
      <c r="Q95" s="1" t="s">
        <v>198</v>
      </c>
      <c r="R95" s="1" t="s">
        <v>202</v>
      </c>
      <c r="T95">
        <f t="shared" si="1"/>
        <v>-5.7384278350514961</v>
      </c>
    </row>
    <row r="96" spans="1:20" x14ac:dyDescent="0.3">
      <c r="A96">
        <v>95</v>
      </c>
      <c r="B96">
        <v>3</v>
      </c>
      <c r="C96">
        <v>1773052399.39289</v>
      </c>
      <c r="D96">
        <v>1773052442.3385701</v>
      </c>
      <c r="E96">
        <v>42.9456760925449</v>
      </c>
      <c r="F96">
        <v>1773052490</v>
      </c>
      <c r="G96">
        <v>1773052534</v>
      </c>
      <c r="H96">
        <v>43.173000000000002</v>
      </c>
      <c r="I96">
        <v>-0.227323907455037</v>
      </c>
      <c r="J96">
        <v>0.227323907455037</v>
      </c>
      <c r="K96">
        <v>0.52793172809751598</v>
      </c>
      <c r="L96">
        <v>-91.661426782608004</v>
      </c>
      <c r="M96">
        <v>91.661426782608004</v>
      </c>
      <c r="N96" s="3">
        <v>5.1696961818231503E-6</v>
      </c>
      <c r="O96" s="2" t="s">
        <v>196</v>
      </c>
      <c r="P96" s="2" t="s">
        <v>203</v>
      </c>
      <c r="Q96" s="1" t="s">
        <v>204</v>
      </c>
      <c r="R96" s="1" t="s">
        <v>205</v>
      </c>
      <c r="T96">
        <f t="shared" si="1"/>
        <v>0.22732390745510145</v>
      </c>
    </row>
    <row r="97" spans="1:20" x14ac:dyDescent="0.3">
      <c r="A97">
        <v>96</v>
      </c>
      <c r="B97">
        <v>2</v>
      </c>
      <c r="C97">
        <v>1773052399.4690499</v>
      </c>
      <c r="D97">
        <v>1773052442.4153099</v>
      </c>
      <c r="E97">
        <v>42.946258974358898</v>
      </c>
      <c r="F97">
        <v>1773052514</v>
      </c>
      <c r="G97">
        <v>1773052605</v>
      </c>
      <c r="H97">
        <v>91.207999999999998</v>
      </c>
      <c r="I97">
        <v>-48.261741025641001</v>
      </c>
      <c r="J97">
        <v>48.261741025641001</v>
      </c>
      <c r="K97">
        <v>71.949621867562698</v>
      </c>
      <c r="L97">
        <v>-162.58468270301799</v>
      </c>
      <c r="M97">
        <v>162.58468270301799</v>
      </c>
      <c r="N97" s="3">
        <v>9.1697612185246899E-6</v>
      </c>
      <c r="O97" s="2" t="s">
        <v>196</v>
      </c>
      <c r="P97" s="2" t="s">
        <v>203</v>
      </c>
      <c r="Q97" s="1" t="s">
        <v>200</v>
      </c>
      <c r="R97" s="1" t="s">
        <v>206</v>
      </c>
      <c r="T97">
        <f t="shared" si="1"/>
        <v>48.261741025641101</v>
      </c>
    </row>
    <row r="98" spans="1:20" x14ac:dyDescent="0.3">
      <c r="A98">
        <v>97</v>
      </c>
      <c r="B98">
        <v>1</v>
      </c>
      <c r="C98">
        <v>1773052400.60659</v>
      </c>
      <c r="D98">
        <v>1773052443.67628</v>
      </c>
      <c r="E98">
        <v>43.069690537084298</v>
      </c>
      <c r="F98">
        <v>1773052526</v>
      </c>
      <c r="G98">
        <v>1773052581</v>
      </c>
      <c r="H98">
        <v>55.259</v>
      </c>
      <c r="I98">
        <v>-12.189309462915601</v>
      </c>
      <c r="J98">
        <v>12.189309462915601</v>
      </c>
      <c r="K98">
        <v>24.792986454586099</v>
      </c>
      <c r="L98">
        <v>-137.32371187210001</v>
      </c>
      <c r="M98">
        <v>137.32371187210001</v>
      </c>
      <c r="N98" s="3">
        <v>7.7450448261687706E-6</v>
      </c>
      <c r="O98" s="2" t="s">
        <v>199</v>
      </c>
      <c r="P98" s="2" t="s">
        <v>207</v>
      </c>
      <c r="Q98" s="1" t="s">
        <v>202</v>
      </c>
      <c r="R98" s="1" t="s">
        <v>208</v>
      </c>
      <c r="T98">
        <f t="shared" si="1"/>
        <v>12.189309462915702</v>
      </c>
    </row>
    <row r="99" spans="1:20" x14ac:dyDescent="0.3">
      <c r="A99">
        <v>98</v>
      </c>
      <c r="B99">
        <v>4</v>
      </c>
      <c r="C99">
        <v>1773052438.3004601</v>
      </c>
      <c r="D99">
        <v>1773052481.4012499</v>
      </c>
      <c r="E99">
        <v>43.1007857142856</v>
      </c>
      <c r="F99">
        <v>1773052533</v>
      </c>
      <c r="G99">
        <v>1773052577</v>
      </c>
      <c r="H99">
        <v>43.234000000000002</v>
      </c>
      <c r="I99">
        <v>-0.13321428571430899</v>
      </c>
      <c r="J99">
        <v>0.13321428571430899</v>
      </c>
      <c r="K99">
        <v>0.30859933134059297</v>
      </c>
      <c r="L99">
        <v>-95.5987451076507</v>
      </c>
      <c r="M99">
        <v>95.5987451076507</v>
      </c>
      <c r="N99" s="3">
        <v>5.3917604545394301E-6</v>
      </c>
      <c r="O99" s="2" t="s">
        <v>201</v>
      </c>
      <c r="P99" s="2" t="s">
        <v>209</v>
      </c>
      <c r="Q99" s="1" t="s">
        <v>210</v>
      </c>
      <c r="R99" s="1" t="s">
        <v>211</v>
      </c>
      <c r="T99">
        <f t="shared" si="1"/>
        <v>0.13321428571440208</v>
      </c>
    </row>
    <row r="100" spans="1:20" x14ac:dyDescent="0.3">
      <c r="A100">
        <v>99</v>
      </c>
      <c r="B100">
        <v>3</v>
      </c>
      <c r="C100">
        <v>1773052442.3385701</v>
      </c>
      <c r="D100">
        <v>1773052499.6779399</v>
      </c>
      <c r="E100">
        <v>57.339369406021</v>
      </c>
      <c r="F100">
        <v>1773052568</v>
      </c>
      <c r="G100">
        <v>1773052603</v>
      </c>
      <c r="H100">
        <v>34.659999999999997</v>
      </c>
      <c r="I100">
        <v>22.679369406020999</v>
      </c>
      <c r="J100">
        <v>22.679369406020999</v>
      </c>
      <c r="K100">
        <v>49.303314908453601</v>
      </c>
      <c r="L100">
        <v>-103.32205748558</v>
      </c>
      <c r="M100">
        <v>103.32205748558</v>
      </c>
      <c r="N100" s="3">
        <v>5.8273544914139099E-6</v>
      </c>
      <c r="O100" s="2" t="s">
        <v>203</v>
      </c>
      <c r="P100" s="2" t="s">
        <v>212</v>
      </c>
      <c r="Q100" s="1" t="s">
        <v>197</v>
      </c>
      <c r="R100" s="1" t="s">
        <v>213</v>
      </c>
      <c r="T100">
        <f t="shared" si="1"/>
        <v>-22.679369406021003</v>
      </c>
    </row>
    <row r="101" spans="1:20" x14ac:dyDescent="0.3">
      <c r="A101">
        <v>100</v>
      </c>
      <c r="B101">
        <v>2</v>
      </c>
      <c r="C101">
        <v>1773052442.4153099</v>
      </c>
      <c r="D101">
        <v>1773052499.7362399</v>
      </c>
      <c r="E101">
        <v>57.320930894308802</v>
      </c>
      <c r="F101">
        <v>1773052577</v>
      </c>
      <c r="G101">
        <v>1773052683</v>
      </c>
      <c r="H101">
        <v>106.506</v>
      </c>
      <c r="I101">
        <v>-49.185069105691099</v>
      </c>
      <c r="J101">
        <v>49.185069105691099</v>
      </c>
      <c r="K101">
        <v>60.045157212183099</v>
      </c>
      <c r="L101">
        <v>-183.263751745224</v>
      </c>
      <c r="M101">
        <v>183.263751745224</v>
      </c>
      <c r="N101" s="3">
        <v>1.03360584247427E-5</v>
      </c>
      <c r="O101" s="2" t="s">
        <v>203</v>
      </c>
      <c r="P101" s="2" t="s">
        <v>212</v>
      </c>
      <c r="Q101" s="1" t="s">
        <v>211</v>
      </c>
      <c r="R101" s="1" t="s">
        <v>214</v>
      </c>
      <c r="T101">
        <f t="shared" si="1"/>
        <v>49.185069105691198</v>
      </c>
    </row>
    <row r="102" spans="1:20" x14ac:dyDescent="0.3">
      <c r="A102">
        <v>101</v>
      </c>
      <c r="B102">
        <v>1</v>
      </c>
      <c r="C102">
        <v>1773052443.67628</v>
      </c>
      <c r="D102">
        <v>1773052486.77741</v>
      </c>
      <c r="E102">
        <v>43.101124681933797</v>
      </c>
      <c r="F102">
        <v>1773052581</v>
      </c>
      <c r="G102">
        <v>1773052613</v>
      </c>
      <c r="H102">
        <v>31.963999999999999</v>
      </c>
      <c r="I102">
        <v>11.1371246819338</v>
      </c>
      <c r="J102">
        <v>11.1371246819338</v>
      </c>
      <c r="K102">
        <v>29.673233020324901</v>
      </c>
      <c r="L102">
        <v>-126.222587108612</v>
      </c>
      <c r="M102">
        <v>126.222587108612</v>
      </c>
      <c r="N102" s="3">
        <v>7.1189422511213703E-6</v>
      </c>
      <c r="O102" s="2" t="s">
        <v>207</v>
      </c>
      <c r="P102" s="2" t="s">
        <v>215</v>
      </c>
      <c r="Q102" s="1" t="s">
        <v>208</v>
      </c>
      <c r="R102" s="1" t="s">
        <v>216</v>
      </c>
      <c r="T102">
        <f t="shared" si="1"/>
        <v>-11.137124681933798</v>
      </c>
    </row>
    <row r="103" spans="1:20" x14ac:dyDescent="0.3">
      <c r="A103">
        <v>102</v>
      </c>
      <c r="B103">
        <v>4</v>
      </c>
      <c r="C103">
        <v>1773052481.4012499</v>
      </c>
      <c r="D103">
        <v>1773052538.76214</v>
      </c>
      <c r="E103">
        <v>57.360886271323999</v>
      </c>
      <c r="F103">
        <v>1773052603</v>
      </c>
      <c r="G103">
        <v>1773052634</v>
      </c>
      <c r="H103">
        <v>31.568000000000001</v>
      </c>
      <c r="I103">
        <v>25.792886271324001</v>
      </c>
      <c r="J103">
        <v>25.792886271324001</v>
      </c>
      <c r="K103">
        <v>58.007892267152201</v>
      </c>
      <c r="L103">
        <v>-95.237858772277804</v>
      </c>
      <c r="M103">
        <v>95.237858772277804</v>
      </c>
      <c r="N103" s="3">
        <v>5.3714063251031499E-6</v>
      </c>
      <c r="O103" s="2" t="s">
        <v>209</v>
      </c>
      <c r="P103" s="2" t="s">
        <v>217</v>
      </c>
      <c r="Q103" s="1" t="s">
        <v>213</v>
      </c>
      <c r="R103" s="1" t="s">
        <v>218</v>
      </c>
      <c r="T103">
        <f t="shared" si="1"/>
        <v>-25.792886271323997</v>
      </c>
    </row>
    <row r="104" spans="1:20" x14ac:dyDescent="0.3">
      <c r="A104">
        <v>103</v>
      </c>
      <c r="B104">
        <v>1</v>
      </c>
      <c r="C104">
        <v>1773052486.77741</v>
      </c>
      <c r="D104">
        <v>1773052544.1173601</v>
      </c>
      <c r="E104">
        <v>57.3399504870128</v>
      </c>
      <c r="F104">
        <v>1773052605</v>
      </c>
      <c r="G104">
        <v>1773052705</v>
      </c>
      <c r="H104">
        <v>99.703000000000003</v>
      </c>
      <c r="I104">
        <v>-42.363049512987097</v>
      </c>
      <c r="J104">
        <v>42.363049512987097</v>
      </c>
      <c r="K104">
        <v>53.950908820310801</v>
      </c>
      <c r="L104">
        <v>-160.882636547088</v>
      </c>
      <c r="M104">
        <v>160.882636547088</v>
      </c>
      <c r="N104" s="3">
        <v>9.0737654550514395E-6</v>
      </c>
      <c r="O104" s="2" t="s">
        <v>215</v>
      </c>
      <c r="P104" s="2" t="s">
        <v>219</v>
      </c>
      <c r="Q104" s="1" t="s">
        <v>206</v>
      </c>
      <c r="R104" s="1" t="s">
        <v>220</v>
      </c>
      <c r="T104">
        <f t="shared" si="1"/>
        <v>42.363049512987203</v>
      </c>
    </row>
    <row r="105" spans="1:20" x14ac:dyDescent="0.3">
      <c r="A105">
        <v>104</v>
      </c>
      <c r="B105">
        <v>3</v>
      </c>
      <c r="C105">
        <v>1773052499.6779399</v>
      </c>
      <c r="D105">
        <v>1773052542.7507999</v>
      </c>
      <c r="E105">
        <v>43.072857868020201</v>
      </c>
      <c r="F105">
        <v>1773052612</v>
      </c>
      <c r="G105">
        <v>1773052659</v>
      </c>
      <c r="H105">
        <v>46.564</v>
      </c>
      <c r="I105">
        <v>-3.49114213197972</v>
      </c>
      <c r="J105">
        <v>3.49114213197972</v>
      </c>
      <c r="K105">
        <v>7.7895236736656104</v>
      </c>
      <c r="L105">
        <v>-116.249199628829</v>
      </c>
      <c r="M105">
        <v>116.249199628829</v>
      </c>
      <c r="N105" s="3">
        <v>6.5564439301707597E-6</v>
      </c>
      <c r="O105" s="2" t="s">
        <v>212</v>
      </c>
      <c r="P105" s="2" t="s">
        <v>221</v>
      </c>
      <c r="Q105" s="1" t="s">
        <v>222</v>
      </c>
      <c r="R105" s="1" t="s">
        <v>223</v>
      </c>
      <c r="T105">
        <f t="shared" si="1"/>
        <v>3.4911421319797995</v>
      </c>
    </row>
    <row r="106" spans="1:20" x14ac:dyDescent="0.3">
      <c r="A106">
        <v>105</v>
      </c>
      <c r="B106">
        <v>2</v>
      </c>
      <c r="C106">
        <v>1773052499.7362399</v>
      </c>
      <c r="D106">
        <v>1773052542.81794</v>
      </c>
      <c r="E106">
        <v>43.081696202531603</v>
      </c>
      <c r="F106">
        <v>1773052634</v>
      </c>
      <c r="G106">
        <v>1773052668</v>
      </c>
      <c r="H106">
        <v>33.265999999999998</v>
      </c>
      <c r="I106">
        <v>9.8156962025316101</v>
      </c>
      <c r="J106">
        <v>9.8156962025316101</v>
      </c>
      <c r="K106">
        <v>25.7131431353029</v>
      </c>
      <c r="L106">
        <v>-125.182055473327</v>
      </c>
      <c r="M106">
        <v>125.182055473327</v>
      </c>
      <c r="N106" s="3">
        <v>7.0602561419464001E-6</v>
      </c>
      <c r="O106" s="2" t="s">
        <v>212</v>
      </c>
      <c r="P106" s="2" t="s">
        <v>221</v>
      </c>
      <c r="Q106" s="1" t="s">
        <v>218</v>
      </c>
      <c r="R106" s="1" t="s">
        <v>224</v>
      </c>
      <c r="T106">
        <f t="shared" si="1"/>
        <v>-9.8156962025316048</v>
      </c>
    </row>
    <row r="107" spans="1:20" x14ac:dyDescent="0.3">
      <c r="A107">
        <v>106</v>
      </c>
      <c r="B107">
        <v>4</v>
      </c>
      <c r="C107">
        <v>1773052538.76214</v>
      </c>
      <c r="D107">
        <v>1773052596.13644</v>
      </c>
      <c r="E107">
        <v>57.374308191402903</v>
      </c>
      <c r="F107">
        <v>1773052659</v>
      </c>
      <c r="G107">
        <v>1773052690</v>
      </c>
      <c r="H107">
        <v>31.469000000000001</v>
      </c>
      <c r="I107">
        <v>25.905308191402899</v>
      </c>
      <c r="J107">
        <v>25.905308191402899</v>
      </c>
      <c r="K107">
        <v>58.316847309631598</v>
      </c>
      <c r="L107">
        <v>-93.8635506629943</v>
      </c>
      <c r="M107">
        <v>93.8635506629943</v>
      </c>
      <c r="N107" s="3">
        <v>5.2938953070544899E-6</v>
      </c>
      <c r="O107" s="2" t="s">
        <v>217</v>
      </c>
      <c r="P107" s="2" t="s">
        <v>225</v>
      </c>
      <c r="Q107" s="1" t="s">
        <v>223</v>
      </c>
      <c r="R107" s="1" t="s">
        <v>226</v>
      </c>
      <c r="T107">
        <f t="shared" si="1"/>
        <v>-25.905308191402902</v>
      </c>
    </row>
    <row r="108" spans="1:20" x14ac:dyDescent="0.3">
      <c r="A108">
        <v>107</v>
      </c>
      <c r="B108">
        <v>3</v>
      </c>
      <c r="C108">
        <v>1773052542.7507999</v>
      </c>
      <c r="D108">
        <v>1773052600.10411</v>
      </c>
      <c r="E108">
        <v>57.353315235007898</v>
      </c>
      <c r="F108">
        <v>1773052667</v>
      </c>
      <c r="G108">
        <v>1773052710</v>
      </c>
      <c r="H108">
        <v>42.173000000000002</v>
      </c>
      <c r="I108">
        <v>15.1803152350079</v>
      </c>
      <c r="J108">
        <v>15.1803152350079</v>
      </c>
      <c r="K108">
        <v>30.505128616815</v>
      </c>
      <c r="L108">
        <v>-109.895884275436</v>
      </c>
      <c r="M108">
        <v>109.895884275436</v>
      </c>
      <c r="N108" s="3">
        <v>6.1981173521442703E-6</v>
      </c>
      <c r="O108" s="2" t="s">
        <v>221</v>
      </c>
      <c r="P108" s="2" t="s">
        <v>227</v>
      </c>
      <c r="Q108" s="1" t="s">
        <v>228</v>
      </c>
      <c r="R108" s="1" t="s">
        <v>229</v>
      </c>
      <c r="T108">
        <f t="shared" si="1"/>
        <v>-15.180315235007896</v>
      </c>
    </row>
    <row r="109" spans="1:20" x14ac:dyDescent="0.3">
      <c r="A109">
        <v>108</v>
      </c>
      <c r="B109">
        <v>2</v>
      </c>
      <c r="C109">
        <v>1773052542.81794</v>
      </c>
      <c r="D109">
        <v>1773052600.1589601</v>
      </c>
      <c r="E109">
        <v>57.3410234817812</v>
      </c>
      <c r="F109">
        <v>1773052683</v>
      </c>
      <c r="G109">
        <v>1773052719</v>
      </c>
      <c r="H109">
        <v>35.731999999999999</v>
      </c>
      <c r="I109">
        <v>21.6090234817812</v>
      </c>
      <c r="J109">
        <v>21.6090234817812</v>
      </c>
      <c r="K109">
        <v>46.434557884565002</v>
      </c>
      <c r="L109">
        <v>-118.841032028198</v>
      </c>
      <c r="M109">
        <v>118.841032028198</v>
      </c>
      <c r="N109" s="3">
        <v>6.7026228119126397E-6</v>
      </c>
      <c r="O109" s="2" t="s">
        <v>221</v>
      </c>
      <c r="P109" s="2" t="s">
        <v>227</v>
      </c>
      <c r="Q109" s="1" t="s">
        <v>214</v>
      </c>
      <c r="R109" s="1" t="s">
        <v>230</v>
      </c>
      <c r="T109">
        <f t="shared" si="1"/>
        <v>-21.6090234817812</v>
      </c>
    </row>
    <row r="110" spans="1:20" x14ac:dyDescent="0.3">
      <c r="A110">
        <v>109</v>
      </c>
      <c r="B110">
        <v>1</v>
      </c>
      <c r="C110">
        <v>1773052544.1173601</v>
      </c>
      <c r="D110">
        <v>1773052601.4409001</v>
      </c>
      <c r="E110">
        <v>57.323540453074301</v>
      </c>
      <c r="F110">
        <v>1773052690</v>
      </c>
      <c r="G110">
        <v>1773052765</v>
      </c>
      <c r="H110">
        <v>74.179000000000002</v>
      </c>
      <c r="I110">
        <v>-16.855459546925601</v>
      </c>
      <c r="J110">
        <v>16.855459546925601</v>
      </c>
      <c r="K110">
        <v>25.635184672254098</v>
      </c>
      <c r="L110">
        <v>-163.559096097946</v>
      </c>
      <c r="M110">
        <v>163.559096097946</v>
      </c>
      <c r="N110" s="3">
        <v>9.2247172148809794E-6</v>
      </c>
      <c r="O110" s="2" t="s">
        <v>219</v>
      </c>
      <c r="P110" s="2" t="s">
        <v>231</v>
      </c>
      <c r="Q110" s="1" t="s">
        <v>226</v>
      </c>
      <c r="R110" s="1" t="s">
        <v>232</v>
      </c>
      <c r="T110">
        <f t="shared" si="1"/>
        <v>16.855459546925701</v>
      </c>
    </row>
    <row r="111" spans="1:20" x14ac:dyDescent="0.3">
      <c r="A111">
        <v>110</v>
      </c>
      <c r="B111">
        <v>4</v>
      </c>
      <c r="C111">
        <v>1773052596.13644</v>
      </c>
      <c r="D111">
        <v>1773052653.4736099</v>
      </c>
      <c r="E111">
        <v>57.337166531931899</v>
      </c>
      <c r="F111">
        <v>1773052705</v>
      </c>
      <c r="G111">
        <v>1773052766</v>
      </c>
      <c r="H111">
        <v>61.030999999999999</v>
      </c>
      <c r="I111">
        <v>-3.6938334680680098</v>
      </c>
      <c r="J111">
        <v>3.6938334680680098</v>
      </c>
      <c r="K111">
        <v>6.2412616099304596</v>
      </c>
      <c r="L111">
        <v>-112.526384115219</v>
      </c>
      <c r="M111">
        <v>112.526384115219</v>
      </c>
      <c r="N111" s="3">
        <v>6.34647709553556E-6</v>
      </c>
      <c r="O111" s="2" t="s">
        <v>225</v>
      </c>
      <c r="P111" s="2" t="s">
        <v>233</v>
      </c>
      <c r="Q111" s="1" t="s">
        <v>220</v>
      </c>
      <c r="R111" s="1" t="s">
        <v>234</v>
      </c>
      <c r="T111">
        <f t="shared" si="1"/>
        <v>3.6938334680680995</v>
      </c>
    </row>
    <row r="112" spans="1:20" x14ac:dyDescent="0.3">
      <c r="A112">
        <v>111</v>
      </c>
      <c r="B112">
        <v>3</v>
      </c>
      <c r="C112">
        <v>1773052600.10411</v>
      </c>
      <c r="D112">
        <v>1773052657.4442599</v>
      </c>
      <c r="E112">
        <v>57.340150242326203</v>
      </c>
      <c r="F112">
        <v>1773052710</v>
      </c>
      <c r="G112">
        <v>1773052755</v>
      </c>
      <c r="H112">
        <v>45.182000000000002</v>
      </c>
      <c r="I112">
        <v>12.158150242326199</v>
      </c>
      <c r="J112">
        <v>12.158150242326199</v>
      </c>
      <c r="K112">
        <v>23.718094506579501</v>
      </c>
      <c r="L112">
        <v>-97.555733919143606</v>
      </c>
      <c r="M112">
        <v>97.555733919143606</v>
      </c>
      <c r="N112" s="3">
        <v>5.5021338946548799E-6</v>
      </c>
      <c r="O112" s="2" t="s">
        <v>227</v>
      </c>
      <c r="P112" s="2" t="s">
        <v>235</v>
      </c>
      <c r="Q112" s="1" t="s">
        <v>229</v>
      </c>
      <c r="R112" s="1" t="s">
        <v>236</v>
      </c>
      <c r="T112">
        <f t="shared" si="1"/>
        <v>-12.158150242326201</v>
      </c>
    </row>
    <row r="113" spans="1:20" x14ac:dyDescent="0.3">
      <c r="A113">
        <v>112</v>
      </c>
      <c r="B113">
        <v>2</v>
      </c>
      <c r="C113">
        <v>1773052600.1589601</v>
      </c>
      <c r="D113">
        <v>1773052657.4893</v>
      </c>
      <c r="E113">
        <v>57.330337368845697</v>
      </c>
      <c r="F113">
        <v>1773052719</v>
      </c>
      <c r="G113">
        <v>1773052755</v>
      </c>
      <c r="H113">
        <v>36.713000000000001</v>
      </c>
      <c r="I113">
        <v>20.6173373688457</v>
      </c>
      <c r="J113">
        <v>20.6173373688457</v>
      </c>
      <c r="K113">
        <v>43.846460463185799</v>
      </c>
      <c r="L113">
        <v>-97.510694742202702</v>
      </c>
      <c r="M113">
        <v>97.510694742202702</v>
      </c>
      <c r="N113" s="3">
        <v>5.4995936893907398E-6</v>
      </c>
      <c r="O113" s="2" t="s">
        <v>227</v>
      </c>
      <c r="P113" s="2" t="s">
        <v>235</v>
      </c>
      <c r="Q113" s="1" t="s">
        <v>230</v>
      </c>
      <c r="R113" s="1" t="s">
        <v>236</v>
      </c>
      <c r="T113">
        <f t="shared" si="1"/>
        <v>-20.617337368845696</v>
      </c>
    </row>
    <row r="114" spans="1:20" x14ac:dyDescent="0.3">
      <c r="A114">
        <v>113</v>
      </c>
      <c r="B114">
        <v>1</v>
      </c>
      <c r="C114">
        <v>1773052601.4409001</v>
      </c>
      <c r="D114">
        <v>1773052644.4978099</v>
      </c>
      <c r="E114">
        <v>43.056909090909002</v>
      </c>
      <c r="F114">
        <v>1773052755</v>
      </c>
      <c r="G114">
        <v>1773052798</v>
      </c>
      <c r="H114">
        <v>42.341999999999999</v>
      </c>
      <c r="I114">
        <v>0.71490909090906696</v>
      </c>
      <c r="J114">
        <v>0.71490909090906696</v>
      </c>
      <c r="K114">
        <v>1.6742815535220199</v>
      </c>
      <c r="L114">
        <v>-153.50218701362601</v>
      </c>
      <c r="M114">
        <v>153.50218701362601</v>
      </c>
      <c r="N114" s="3">
        <v>8.6575083286582601E-6</v>
      </c>
      <c r="O114" s="2" t="s">
        <v>231</v>
      </c>
      <c r="P114" s="2" t="s">
        <v>237</v>
      </c>
      <c r="Q114" s="1" t="s">
        <v>236</v>
      </c>
      <c r="R114" s="1" t="s">
        <v>238</v>
      </c>
      <c r="T114">
        <f t="shared" si="1"/>
        <v>-0.71490909090900345</v>
      </c>
    </row>
    <row r="115" spans="1:20" x14ac:dyDescent="0.3">
      <c r="A115">
        <v>114</v>
      </c>
      <c r="B115">
        <v>1</v>
      </c>
      <c r="C115">
        <v>1773052644.4978099</v>
      </c>
      <c r="D115">
        <v>1773052701.8115201</v>
      </c>
      <c r="E115">
        <v>57.3137104838708</v>
      </c>
      <c r="F115">
        <v>1773052755</v>
      </c>
      <c r="G115">
        <v>1773052814</v>
      </c>
      <c r="H115">
        <v>59.795999999999999</v>
      </c>
      <c r="I115">
        <v>-2.4822895161291401</v>
      </c>
      <c r="J115">
        <v>2.4822895161291401</v>
      </c>
      <c r="K115">
        <v>4.2392548079452697</v>
      </c>
      <c r="L115">
        <v>-112.1884765625</v>
      </c>
      <c r="M115">
        <v>112.1884765625</v>
      </c>
      <c r="N115" s="3">
        <v>6.3274189706013703E-6</v>
      </c>
      <c r="O115" s="2" t="s">
        <v>237</v>
      </c>
      <c r="P115" s="2" t="s">
        <v>239</v>
      </c>
      <c r="Q115" s="1" t="s">
        <v>236</v>
      </c>
      <c r="R115" s="1" t="s">
        <v>240</v>
      </c>
      <c r="T115">
        <f t="shared" si="1"/>
        <v>2.4822895161291996</v>
      </c>
    </row>
    <row r="116" spans="1:20" x14ac:dyDescent="0.3">
      <c r="A116">
        <v>115</v>
      </c>
      <c r="B116">
        <v>4</v>
      </c>
      <c r="C116">
        <v>1773052653.4736099</v>
      </c>
      <c r="D116">
        <v>1773052696.5287199</v>
      </c>
      <c r="E116">
        <v>43.055108312342497</v>
      </c>
      <c r="F116">
        <v>1773052764</v>
      </c>
      <c r="G116">
        <v>1773052846</v>
      </c>
      <c r="H116">
        <v>81.757000000000005</v>
      </c>
      <c r="I116">
        <v>-38.701891687657401</v>
      </c>
      <c r="J116">
        <v>38.701891687657401</v>
      </c>
      <c r="K116">
        <v>62.016245396329403</v>
      </c>
      <c r="L116">
        <v>-149.471275806427</v>
      </c>
      <c r="M116">
        <v>149.471275806427</v>
      </c>
      <c r="N116" s="3">
        <v>8.4301650931595807E-6</v>
      </c>
      <c r="O116" s="2" t="s">
        <v>233</v>
      </c>
      <c r="P116" s="2" t="s">
        <v>241</v>
      </c>
      <c r="Q116" s="1" t="s">
        <v>242</v>
      </c>
      <c r="R116" s="1" t="s">
        <v>243</v>
      </c>
      <c r="T116">
        <f t="shared" si="1"/>
        <v>38.701891687657508</v>
      </c>
    </row>
    <row r="117" spans="1:20" x14ac:dyDescent="0.3">
      <c r="A117">
        <v>116</v>
      </c>
      <c r="B117">
        <v>3</v>
      </c>
      <c r="C117">
        <v>1773052657.4442599</v>
      </c>
      <c r="D117">
        <v>1773052714.7599699</v>
      </c>
      <c r="E117">
        <v>57.315710717163398</v>
      </c>
      <c r="F117">
        <v>1773052766</v>
      </c>
      <c r="G117">
        <v>1773052826</v>
      </c>
      <c r="H117">
        <v>59.981000000000002</v>
      </c>
      <c r="I117">
        <v>-2.6652892828365302</v>
      </c>
      <c r="J117">
        <v>2.6652892828365302</v>
      </c>
      <c r="K117">
        <v>4.5445251900768397</v>
      </c>
      <c r="L117">
        <v>-111.24002313613801</v>
      </c>
      <c r="M117">
        <v>111.24002313613801</v>
      </c>
      <c r="N117" s="3">
        <v>6.2739262471188999E-6</v>
      </c>
      <c r="O117" s="2" t="s">
        <v>235</v>
      </c>
      <c r="P117" s="2" t="s">
        <v>244</v>
      </c>
      <c r="Q117" s="1" t="s">
        <v>234</v>
      </c>
      <c r="R117" s="1" t="s">
        <v>245</v>
      </c>
      <c r="T117">
        <f t="shared" si="1"/>
        <v>2.6652892828366035</v>
      </c>
    </row>
    <row r="118" spans="1:20" x14ac:dyDescent="0.3">
      <c r="A118">
        <v>117</v>
      </c>
      <c r="B118">
        <v>2</v>
      </c>
      <c r="C118">
        <v>1773052657.4893</v>
      </c>
      <c r="D118">
        <v>1773052700.64165</v>
      </c>
      <c r="E118">
        <v>43.152349246231097</v>
      </c>
      <c r="F118">
        <v>1773052798</v>
      </c>
      <c r="G118">
        <v>1773052838</v>
      </c>
      <c r="H118">
        <v>40.228000000000002</v>
      </c>
      <c r="I118">
        <v>2.92434924623113</v>
      </c>
      <c r="J118">
        <v>2.92434924623113</v>
      </c>
      <c r="K118">
        <v>7.0144806844001399</v>
      </c>
      <c r="L118">
        <v>-137.35834550857501</v>
      </c>
      <c r="M118">
        <v>137.35834550857501</v>
      </c>
      <c r="N118" s="3">
        <v>7.7469970372732298E-6</v>
      </c>
      <c r="O118" s="2" t="s">
        <v>235</v>
      </c>
      <c r="P118" s="2" t="s">
        <v>246</v>
      </c>
      <c r="Q118" s="1" t="s">
        <v>238</v>
      </c>
      <c r="R118" s="1" t="s">
        <v>247</v>
      </c>
      <c r="T118">
        <f t="shared" si="1"/>
        <v>-2.9243492462310954</v>
      </c>
    </row>
    <row r="119" spans="1:20" x14ac:dyDescent="0.3">
      <c r="A119">
        <v>118</v>
      </c>
      <c r="B119">
        <v>4</v>
      </c>
      <c r="C119">
        <v>1773052696.5287199</v>
      </c>
      <c r="D119">
        <v>1773052753.84658</v>
      </c>
      <c r="E119">
        <v>57.317856682769602</v>
      </c>
      <c r="F119">
        <v>1773052814</v>
      </c>
      <c r="G119">
        <v>1773052896</v>
      </c>
      <c r="H119">
        <v>81.537999999999997</v>
      </c>
      <c r="I119">
        <v>-24.220143317230299</v>
      </c>
      <c r="J119">
        <v>24.220143317230299</v>
      </c>
      <c r="K119">
        <v>34.885303214201102</v>
      </c>
      <c r="L119">
        <v>-142.15341901779101</v>
      </c>
      <c r="M119">
        <v>142.15341901779101</v>
      </c>
      <c r="N119" s="3">
        <v>8.0174384552779402E-6</v>
      </c>
      <c r="O119" s="2" t="s">
        <v>241</v>
      </c>
      <c r="P119" s="2" t="s">
        <v>248</v>
      </c>
      <c r="Q119" s="1" t="s">
        <v>240</v>
      </c>
      <c r="R119" s="1" t="s">
        <v>249</v>
      </c>
      <c r="T119">
        <f t="shared" si="1"/>
        <v>24.220143317230395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2026-06-18T11:07:04Z</dcterms:modified>
</cp:coreProperties>
</file>