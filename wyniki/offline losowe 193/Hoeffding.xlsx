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1ce2b8ec1b16a9a7/Pulpit/Magisterka/Dane do pracy/Wyniki symulacji 1/offline losowe 193/"/>
    </mc:Choice>
  </mc:AlternateContent>
  <xr:revisionPtr revIDLastSave="31" documentId="11_AD4DADEC636C813AC809E415181B7BC65BDEDD96" xr6:coauthVersionLast="47" xr6:coauthVersionMax="47" xr10:uidLastSave="{7B7A61AF-E2F5-4FC8-8802-F9534A74FD63}"/>
  <bookViews>
    <workbookView xWindow="-108" yWindow="-108" windowWidth="23256" windowHeight="12456" xr2:uid="{00000000-000D-0000-FFFF-FFFF00000000}"/>
  </bookViews>
  <sheets>
    <sheet name="Arkusz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94" i="1" l="1"/>
  <c r="T193" i="1"/>
  <c r="T192" i="1"/>
  <c r="T191" i="1"/>
  <c r="T190" i="1"/>
  <c r="T189" i="1"/>
  <c r="T188" i="1"/>
  <c r="T187" i="1"/>
  <c r="T186" i="1"/>
  <c r="T185" i="1"/>
  <c r="T184" i="1"/>
  <c r="T183" i="1"/>
  <c r="T182" i="1"/>
  <c r="T181" i="1"/>
  <c r="T180" i="1"/>
  <c r="T179" i="1"/>
  <c r="T178" i="1"/>
  <c r="T177" i="1"/>
  <c r="T176" i="1"/>
  <c r="T175" i="1"/>
  <c r="T174" i="1"/>
  <c r="T173" i="1"/>
  <c r="T172" i="1"/>
  <c r="T171" i="1"/>
  <c r="T170" i="1"/>
  <c r="T169" i="1"/>
  <c r="T168" i="1"/>
  <c r="T167" i="1"/>
  <c r="T166" i="1"/>
  <c r="T165" i="1"/>
  <c r="T164" i="1"/>
  <c r="T163" i="1"/>
  <c r="T162" i="1"/>
  <c r="T161" i="1"/>
  <c r="T160" i="1"/>
  <c r="T159" i="1"/>
  <c r="T158" i="1"/>
  <c r="T157" i="1"/>
  <c r="T156" i="1"/>
  <c r="T155" i="1"/>
  <c r="T154" i="1"/>
  <c r="T153" i="1"/>
  <c r="T152" i="1"/>
  <c r="T151" i="1"/>
  <c r="T150" i="1"/>
  <c r="T149" i="1"/>
  <c r="T148" i="1"/>
  <c r="T147" i="1"/>
  <c r="T146" i="1"/>
  <c r="T145" i="1"/>
  <c r="T144" i="1"/>
  <c r="T143" i="1"/>
  <c r="T142" i="1"/>
  <c r="T141" i="1"/>
  <c r="T140" i="1"/>
  <c r="T139" i="1"/>
  <c r="T138" i="1"/>
  <c r="T137" i="1"/>
  <c r="T136" i="1"/>
  <c r="T135" i="1"/>
  <c r="T134" i="1"/>
  <c r="T133" i="1"/>
  <c r="T132" i="1"/>
  <c r="T131" i="1"/>
  <c r="T130" i="1"/>
  <c r="T129" i="1"/>
  <c r="T128" i="1"/>
  <c r="T127" i="1"/>
  <c r="T126" i="1"/>
  <c r="T125" i="1"/>
  <c r="T124" i="1"/>
  <c r="T123" i="1"/>
  <c r="T122" i="1"/>
  <c r="T121" i="1"/>
  <c r="T120" i="1"/>
  <c r="T119" i="1"/>
  <c r="T118" i="1"/>
  <c r="T117" i="1"/>
  <c r="T116" i="1"/>
  <c r="T115" i="1"/>
  <c r="T114" i="1"/>
  <c r="T113" i="1"/>
  <c r="T112" i="1"/>
  <c r="T111" i="1"/>
  <c r="T110" i="1"/>
  <c r="T109" i="1"/>
  <c r="T108" i="1"/>
  <c r="T107" i="1"/>
  <c r="T106" i="1"/>
  <c r="T105" i="1"/>
  <c r="T104" i="1"/>
  <c r="T103" i="1"/>
  <c r="T102" i="1"/>
  <c r="T101" i="1"/>
  <c r="T100" i="1"/>
  <c r="T99" i="1"/>
  <c r="T98" i="1"/>
  <c r="T97" i="1"/>
  <c r="T96" i="1"/>
  <c r="T95" i="1"/>
  <c r="T94" i="1"/>
  <c r="T93" i="1"/>
  <c r="T92" i="1"/>
  <c r="T91" i="1"/>
  <c r="T90" i="1"/>
  <c r="T89" i="1"/>
  <c r="T88" i="1"/>
  <c r="T87" i="1"/>
  <c r="T86" i="1"/>
  <c r="T85" i="1"/>
  <c r="T84" i="1"/>
  <c r="T83" i="1"/>
  <c r="T82" i="1"/>
  <c r="T81" i="1"/>
  <c r="T80" i="1"/>
  <c r="T79" i="1"/>
  <c r="T78" i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X2" i="1"/>
  <c r="W2" i="1"/>
  <c r="V2" i="1"/>
  <c r="U2" i="1"/>
  <c r="T2" i="1"/>
</calcChain>
</file>

<file path=xl/sharedStrings.xml><?xml version="1.0" encoding="utf-8"?>
<sst xmlns="http://schemas.openxmlformats.org/spreadsheetml/2006/main" count="409" uniqueCount="225">
  <si>
    <t>real_end_datetime</t>
  </si>
  <si>
    <t>real_start_datetime</t>
  </si>
  <si>
    <t>predicted_end_datetime</t>
  </si>
  <si>
    <t>predicted_start_datetime</t>
  </si>
  <si>
    <t>end_time_smape</t>
  </si>
  <si>
    <t>end_time_abs_error_seconds</t>
  </si>
  <si>
    <t>end_time_error_seconds</t>
  </si>
  <si>
    <t>duration_smape</t>
  </si>
  <si>
    <t>duration_abs_error_seconds</t>
  </si>
  <si>
    <t>duration_error_seconds</t>
  </si>
  <si>
    <t>real_duration_seconds</t>
  </si>
  <si>
    <t>real_end_time</t>
  </si>
  <si>
    <t>real_start_time</t>
  </si>
  <si>
    <t>predicted_duration_seconds</t>
  </si>
  <si>
    <t>predicted_end_time</t>
  </si>
  <si>
    <t>predicted_start_time</t>
  </si>
  <si>
    <t>worker_id</t>
  </si>
  <si>
    <t>queue_position</t>
  </si>
  <si>
    <t>25,06,2025  22:39:34</t>
  </si>
  <si>
    <t>25,06,2025  22:42:54</t>
  </si>
  <si>
    <t>25,06,2025  22:40:14</t>
  </si>
  <si>
    <t>25,06,2025  22:43:07</t>
  </si>
  <si>
    <t>25,06,2025  22:41:32</t>
  </si>
  <si>
    <t>25,06,2025  22:44:37</t>
  </si>
  <si>
    <t>25,06,2025  22:44:47</t>
  </si>
  <si>
    <t>25,06,2025  22:45:00</t>
  </si>
  <si>
    <t>25,06,2025  22:44:04</t>
  </si>
  <si>
    <t>25,06,2025  22:46:23</t>
  </si>
  <si>
    <t>25,06,2025  22:47:10</t>
  </si>
  <si>
    <t>25,06,2025  22:46:52</t>
  </si>
  <si>
    <t>25,06,2025  22:47:03</t>
  </si>
  <si>
    <t>25,06,2025  22:48:18</t>
  </si>
  <si>
    <t>25,06,2025  22:50:03</t>
  </si>
  <si>
    <t>25,06,2025  22:49:34</t>
  </si>
  <si>
    <t>25,06,2025  22:49:18</t>
  </si>
  <si>
    <t>25,06,2025  22:48:17</t>
  </si>
  <si>
    <t>25,06,2025  22:50:13</t>
  </si>
  <si>
    <t>25,06,2025  22:51:13</t>
  </si>
  <si>
    <t>25,06,2025  22:51:31</t>
  </si>
  <si>
    <t>25,06,2025  22:52:32</t>
  </si>
  <si>
    <t>25,06,2025  22:51:08</t>
  </si>
  <si>
    <t>25,06,2025  22:52:42</t>
  </si>
  <si>
    <t>25,06,2025  22:52:49</t>
  </si>
  <si>
    <t>25,06,2025  22:52:55</t>
  </si>
  <si>
    <t>25,06,2025  22:53:38</t>
  </si>
  <si>
    <t>25,06,2025  22:54:04</t>
  </si>
  <si>
    <t>25,06,2025  22:54:03</t>
  </si>
  <si>
    <t>25,06,2025  22:54:41</t>
  </si>
  <si>
    <t>25,06,2025  22:54:23</t>
  </si>
  <si>
    <t>25,06,2025  22:54:46</t>
  </si>
  <si>
    <t>25,06,2025  22:55:32</t>
  </si>
  <si>
    <t>25,06,2025  22:55:27</t>
  </si>
  <si>
    <t>25,06,2025  22:55:24</t>
  </si>
  <si>
    <t>25,06,2025  22:55:38</t>
  </si>
  <si>
    <t>25,06,2025  22:56:32</t>
  </si>
  <si>
    <t>25,06,2025  22:56:40</t>
  </si>
  <si>
    <t>25,06,2025  22:56:43</t>
  </si>
  <si>
    <t>25,06,2025  22:56:46</t>
  </si>
  <si>
    <t>25,06,2025  22:57:39</t>
  </si>
  <si>
    <t>25,06,2025  22:57:44</t>
  </si>
  <si>
    <t>25,06,2025  22:57:52</t>
  </si>
  <si>
    <t>25,06,2025  22:57:50</t>
  </si>
  <si>
    <t>25,06,2025  22:57:38</t>
  </si>
  <si>
    <t>25,06,2025  22:58:43</t>
  </si>
  <si>
    <t>25,06,2025  22:58:53</t>
  </si>
  <si>
    <t>25,06,2025  22:58:55</t>
  </si>
  <si>
    <t>25,06,2025  22:58:48</t>
  </si>
  <si>
    <t>25,06,2025  22:59:48</t>
  </si>
  <si>
    <t>25,06,2025  22:59:56</t>
  </si>
  <si>
    <t>25,06,2025  23:00:02</t>
  </si>
  <si>
    <t>25,06,2025  23:00:06</t>
  </si>
  <si>
    <t>25,06,2025  23:00:54</t>
  </si>
  <si>
    <t>25,06,2025  23:00:58</t>
  </si>
  <si>
    <t>25,06,2025  23:00:01</t>
  </si>
  <si>
    <t>25,06,2025  23:01:06</t>
  </si>
  <si>
    <t>25,06,2025  23:01:13</t>
  </si>
  <si>
    <t>25,06,2025  23:01:56</t>
  </si>
  <si>
    <t>25,06,2025  23:02:04</t>
  </si>
  <si>
    <t>25,06,2025  23:02:15</t>
  </si>
  <si>
    <t>25,06,2025  23:02:19</t>
  </si>
  <si>
    <t>25,06,2025  23:03:04</t>
  </si>
  <si>
    <t>25,06,2025  23:03:08</t>
  </si>
  <si>
    <t>25,06,2025  23:03:22</t>
  </si>
  <si>
    <t>25,06,2025  23:03:23</t>
  </si>
  <si>
    <t>25,06,2025  23:03:03</t>
  </si>
  <si>
    <t>25,06,2025  23:04:09</t>
  </si>
  <si>
    <t>25,06,2025  23:04:10</t>
  </si>
  <si>
    <t>25,06,2025  23:04:25</t>
  </si>
  <si>
    <t>25,06,2025  23:04:32</t>
  </si>
  <si>
    <t>25,06,2025  23:05:17</t>
  </si>
  <si>
    <t>25,06,2025  23:05:13</t>
  </si>
  <si>
    <t>25,06,2025  23:05:30</t>
  </si>
  <si>
    <t>25,06,2025  23:05:37</t>
  </si>
  <si>
    <t>25,06,2025  23:06:11</t>
  </si>
  <si>
    <t>25,06,2025  23:06:27</t>
  </si>
  <si>
    <t>25,06,2025  23:06:37</t>
  </si>
  <si>
    <t>25,06,2025  23:06:46</t>
  </si>
  <si>
    <t>25,06,2025  23:07:16</t>
  </si>
  <si>
    <t>25,06,2025  23:07:23</t>
  </si>
  <si>
    <t>25,06,2025  23:07:47</t>
  </si>
  <si>
    <t>25,06,2025  23:07:50</t>
  </si>
  <si>
    <t>25,06,2025  23:08:17</t>
  </si>
  <si>
    <t>25,06,2025  23:08:28</t>
  </si>
  <si>
    <t>25,06,2025  23:08:52</t>
  </si>
  <si>
    <t>25,06,2025  23:09:02</t>
  </si>
  <si>
    <t>25,06,2025  23:09:22</t>
  </si>
  <si>
    <t>25,06,2025  23:09:31</t>
  </si>
  <si>
    <t>25,06,2025  23:09:54</t>
  </si>
  <si>
    <t>25,06,2025  23:10:09</t>
  </si>
  <si>
    <t>25,06,2025  23:10:27</t>
  </si>
  <si>
    <t>25,06,2025  23:10:36</t>
  </si>
  <si>
    <t>25,06,2025  23:11:04</t>
  </si>
  <si>
    <t>25,06,2025  23:11:15</t>
  </si>
  <si>
    <t>25,06,2025  23:11:34</t>
  </si>
  <si>
    <t>25,06,2025  23:11:26</t>
  </si>
  <si>
    <t>25,06,2025  23:11:52</t>
  </si>
  <si>
    <t>25,06,2025  23:12:06</t>
  </si>
  <si>
    <t>25,06,2025  23:12:10</t>
  </si>
  <si>
    <t>25,06,2025  23:12:18</t>
  </si>
  <si>
    <t>25,06,2025  23:13:25</t>
  </si>
  <si>
    <t>25,06,2025  23:12:59</t>
  </si>
  <si>
    <t>25,06,2025  23:13:11</t>
  </si>
  <si>
    <t>25,06,2025  23:13:36</t>
  </si>
  <si>
    <t>25,06,2025  23:14:08</t>
  </si>
  <si>
    <t>25,06,2025  23:14:16</t>
  </si>
  <si>
    <t>25,06,2025  23:14:52</t>
  </si>
  <si>
    <t>25,06,2025  23:14:40</t>
  </si>
  <si>
    <t>25,06,2025  23:14:07</t>
  </si>
  <si>
    <t>25,06,2025  23:14:59</t>
  </si>
  <si>
    <t>25,06,2025  23:15:02</t>
  </si>
  <si>
    <t>25,06,2025  23:16:07</t>
  </si>
  <si>
    <t>25,06,2025  23:16:25</t>
  </si>
  <si>
    <t>25,06,2025  23:16:32</t>
  </si>
  <si>
    <t>25,06,2025  23:15:36</t>
  </si>
  <si>
    <t>25,06,2025  23:16:20</t>
  </si>
  <si>
    <t>25,06,2025  23:16:56</t>
  </si>
  <si>
    <t>25,06,2025  23:17:38</t>
  </si>
  <si>
    <t>25,06,2025  23:17:01</t>
  </si>
  <si>
    <t>25,06,2025  23:17:18</t>
  </si>
  <si>
    <t>25,06,2025  23:17:54</t>
  </si>
  <si>
    <t>25,06,2025  23:17:36</t>
  </si>
  <si>
    <t>25,06,2025  23:18:42</t>
  </si>
  <si>
    <t>25,06,2025  23:19:00</t>
  </si>
  <si>
    <t>25,06,2025  23:18:24</t>
  </si>
  <si>
    <t>25,06,2025  23:19:10</t>
  </si>
  <si>
    <t>25,06,2025  23:19:27</t>
  </si>
  <si>
    <t>25,06,2025  23:19:17</t>
  </si>
  <si>
    <t>25,06,2025  23:19:44</t>
  </si>
  <si>
    <t>25,06,2025  23:20:08</t>
  </si>
  <si>
    <t>25,06,2025  23:21:01</t>
  </si>
  <si>
    <t>25,06,2025  23:20:34</t>
  </si>
  <si>
    <t>25,06,2025  23:19:43</t>
  </si>
  <si>
    <t>25,06,2025  23:20:26</t>
  </si>
  <si>
    <t>25,06,2025  23:21:10</t>
  </si>
  <si>
    <t>25,06,2025  23:21:18</t>
  </si>
  <si>
    <t>25,06,2025  23:21:22</t>
  </si>
  <si>
    <t>25,06,2025  23:21:46</t>
  </si>
  <si>
    <t>25,06,2025  23:21:55</t>
  </si>
  <si>
    <t>25,06,2025  23:22:19</t>
  </si>
  <si>
    <t>25,06,2025  23:22:03</t>
  </si>
  <si>
    <t>25,06,2025  23:22:38</t>
  </si>
  <si>
    <t>25,06,2025  23:22:59</t>
  </si>
  <si>
    <t>25,06,2025  23:22:52</t>
  </si>
  <si>
    <t>25,06,2025  23:23:42</t>
  </si>
  <si>
    <t>25,06,2025  23:23:50</t>
  </si>
  <si>
    <t>25,06,2025  23:23:29</t>
  </si>
  <si>
    <t>25,06,2025  23:24:00</t>
  </si>
  <si>
    <t>25,06,2025  23:24:19</t>
  </si>
  <si>
    <t>25,06,2025  23:24:55</t>
  </si>
  <si>
    <t>25,06,2025  23:25:10</t>
  </si>
  <si>
    <t>25,06,2025  23:25:01</t>
  </si>
  <si>
    <t>25,06,2025  23:25:37</t>
  </si>
  <si>
    <t>25,06,2025  23:25:52</t>
  </si>
  <si>
    <t>25,06,2025  23:26:28</t>
  </si>
  <si>
    <t>25,06,2025  23:25:09</t>
  </si>
  <si>
    <t>25,06,2025  23:27:12</t>
  </si>
  <si>
    <t>25,06,2025  23:27:27</t>
  </si>
  <si>
    <t>25,06,2025  23:28:01</t>
  </si>
  <si>
    <t>25,06,2025  23:28:30</t>
  </si>
  <si>
    <t>25,06,2025  23:29:04</t>
  </si>
  <si>
    <t>25,06,2025  23:29:39</t>
  </si>
  <si>
    <t>25,06,2025  23:30:01</t>
  </si>
  <si>
    <t>25,06,2025  23:30:57</t>
  </si>
  <si>
    <t>25,06,2025  23:31:02</t>
  </si>
  <si>
    <t>25,06,2025  23:31:46</t>
  </si>
  <si>
    <t>25,06,2025  23:32:15</t>
  </si>
  <si>
    <t>25,06,2025  23:32:48</t>
  </si>
  <si>
    <t>25,06,2025  23:32:59</t>
  </si>
  <si>
    <t>25,06,2025  23:34:03</t>
  </si>
  <si>
    <t>25,06,2025  23:34:22</t>
  </si>
  <si>
    <t>25,06,2025  23:34:45</t>
  </si>
  <si>
    <t>25,06,2025  23:35:05</t>
  </si>
  <si>
    <t>25,06,2025  23:36:23</t>
  </si>
  <si>
    <t>25,06,2025  23:36:14</t>
  </si>
  <si>
    <t>25,06,2025  23:36:59</t>
  </si>
  <si>
    <t>25,06,2025  23:36:33</t>
  </si>
  <si>
    <t>25,06,2025  23:38:08</t>
  </si>
  <si>
    <t>25,06,2025  23:38:12</t>
  </si>
  <si>
    <t>25,06,2025  23:38:26</t>
  </si>
  <si>
    <t>25,06,2025  23:39:00</t>
  </si>
  <si>
    <t>25,06,2025  23:40:00</t>
  </si>
  <si>
    <t>25,06,2025  23:38:38</t>
  </si>
  <si>
    <t>25,06,2025  23:39:47</t>
  </si>
  <si>
    <t>25,06,2025  23:40:25</t>
  </si>
  <si>
    <t>25,06,2025  23:41:18</t>
  </si>
  <si>
    <t>25,06,2025  23:42:15</t>
  </si>
  <si>
    <t>25,06,2025  23:43:40</t>
  </si>
  <si>
    <t>25,06,2025  23:42:06</t>
  </si>
  <si>
    <t>25,06,2025  23:43:05</t>
  </si>
  <si>
    <t>25,06,2025  23:43:53</t>
  </si>
  <si>
    <t>25,06,2025  23:44:53</t>
  </si>
  <si>
    <t>25,06,2025  23:45:56</t>
  </si>
  <si>
    <t>25,06,2025  23:46:13</t>
  </si>
  <si>
    <t>25,06,2025  23:45:30</t>
  </si>
  <si>
    <t>25,06,2025  23:47:08</t>
  </si>
  <si>
    <t>25,06,2025  23:47:14</t>
  </si>
  <si>
    <t>25,06,2025  23:48:12</t>
  </si>
  <si>
    <t>25,06,2025  23:48:03</t>
  </si>
  <si>
    <t>25,06,2025  23:48:52</t>
  </si>
  <si>
    <t>25,06,2025  23:48:54</t>
  </si>
  <si>
    <t>residua</t>
  </si>
  <si>
    <t>średnie_res</t>
  </si>
  <si>
    <t>mediana_res</t>
  </si>
  <si>
    <t>pred_zawyzone</t>
  </si>
  <si>
    <t>pred_zanizone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</si>
</sst>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47" fontId="0" fillId="0" borderId="0" xfId="0" applyNumberFormat="1"/>
    <xf numFmtId="11" fontId="0" fillId="0" borderId="0" xfId="0" applyNumberFormat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Real vs Predicted Hoeffding Trees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Predicted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Arkusz1!$E$2:$E$186</c:f>
              <c:numCache>
                <c:formatCode>General</c:formatCode>
                <c:ptCount val="185"/>
                <c:pt idx="0">
                  <c:v>98.044983443708603</c:v>
                </c:pt>
                <c:pt idx="1">
                  <c:v>98.3795412541254</c:v>
                </c:pt>
                <c:pt idx="2">
                  <c:v>166.496073002754</c:v>
                </c:pt>
                <c:pt idx="3">
                  <c:v>70.865838797814007</c:v>
                </c:pt>
                <c:pt idx="4">
                  <c:v>166.52233700137501</c:v>
                </c:pt>
                <c:pt idx="5">
                  <c:v>166.44861538461501</c:v>
                </c:pt>
                <c:pt idx="6">
                  <c:v>166.410858710562</c:v>
                </c:pt>
                <c:pt idx="7">
                  <c:v>166.39221369862901</c:v>
                </c:pt>
                <c:pt idx="8">
                  <c:v>166.33596443228399</c:v>
                </c:pt>
                <c:pt idx="9">
                  <c:v>166.27663524590099</c:v>
                </c:pt>
                <c:pt idx="10">
                  <c:v>166.206219645293</c:v>
                </c:pt>
                <c:pt idx="11">
                  <c:v>166.239145776566</c:v>
                </c:pt>
                <c:pt idx="12">
                  <c:v>166.21806802720999</c:v>
                </c:pt>
                <c:pt idx="13">
                  <c:v>98.626667763157897</c:v>
                </c:pt>
                <c:pt idx="14">
                  <c:v>166.165985054347</c:v>
                </c:pt>
                <c:pt idx="15">
                  <c:v>166.09629715061001</c:v>
                </c:pt>
                <c:pt idx="16">
                  <c:v>166.03056233062301</c:v>
                </c:pt>
                <c:pt idx="17">
                  <c:v>32.034903536977502</c:v>
                </c:pt>
                <c:pt idx="18">
                  <c:v>38.998892183288397</c:v>
                </c:pt>
                <c:pt idx="19">
                  <c:v>44.449053471668002</c:v>
                </c:pt>
                <c:pt idx="20">
                  <c:v>85.015240384615396</c:v>
                </c:pt>
                <c:pt idx="21">
                  <c:v>85.005990476190405</c:v>
                </c:pt>
                <c:pt idx="22">
                  <c:v>44.490517543859603</c:v>
                </c:pt>
                <c:pt idx="23">
                  <c:v>84.830556603773601</c:v>
                </c:pt>
                <c:pt idx="24">
                  <c:v>39.146357526881701</c:v>
                </c:pt>
                <c:pt idx="25">
                  <c:v>32.071200642054599</c:v>
                </c:pt>
                <c:pt idx="26">
                  <c:v>32.092046474359002</c:v>
                </c:pt>
                <c:pt idx="27">
                  <c:v>84.723775700934596</c:v>
                </c:pt>
                <c:pt idx="28">
                  <c:v>49.637342398884101</c:v>
                </c:pt>
                <c:pt idx="29">
                  <c:v>32.1098176</c:v>
                </c:pt>
                <c:pt idx="30">
                  <c:v>32.127095846645403</c:v>
                </c:pt>
                <c:pt idx="31">
                  <c:v>70.923735334242593</c:v>
                </c:pt>
                <c:pt idx="32">
                  <c:v>70.919589918255895</c:v>
                </c:pt>
                <c:pt idx="33">
                  <c:v>98.681809836065597</c:v>
                </c:pt>
                <c:pt idx="34">
                  <c:v>98.593513071895401</c:v>
                </c:pt>
                <c:pt idx="35">
                  <c:v>70.922010884353597</c:v>
                </c:pt>
                <c:pt idx="36">
                  <c:v>98.493244299674203</c:v>
                </c:pt>
                <c:pt idx="37">
                  <c:v>98.382113636363599</c:v>
                </c:pt>
                <c:pt idx="38">
                  <c:v>98.289097087378593</c:v>
                </c:pt>
                <c:pt idx="39">
                  <c:v>98.1785</c:v>
                </c:pt>
                <c:pt idx="40">
                  <c:v>98.072180064308697</c:v>
                </c:pt>
                <c:pt idx="41">
                  <c:v>97.978650641025595</c:v>
                </c:pt>
                <c:pt idx="42">
                  <c:v>70.916120923912899</c:v>
                </c:pt>
                <c:pt idx="43">
                  <c:v>97.872105431309905</c:v>
                </c:pt>
                <c:pt idx="44">
                  <c:v>97.765923566878996</c:v>
                </c:pt>
                <c:pt idx="45">
                  <c:v>97.671898412698397</c:v>
                </c:pt>
                <c:pt idx="46">
                  <c:v>70.896135685210098</c:v>
                </c:pt>
                <c:pt idx="47">
                  <c:v>70.896788617886003</c:v>
                </c:pt>
                <c:pt idx="48">
                  <c:v>70.890142083897004</c:v>
                </c:pt>
                <c:pt idx="49">
                  <c:v>97.579905063291093</c:v>
                </c:pt>
                <c:pt idx="50">
                  <c:v>70.878082432432194</c:v>
                </c:pt>
                <c:pt idx="51">
                  <c:v>97.474684542586701</c:v>
                </c:pt>
                <c:pt idx="52">
                  <c:v>70.872354925775795</c:v>
                </c:pt>
                <c:pt idx="53">
                  <c:v>97.364433962264101</c:v>
                </c:pt>
                <c:pt idx="54">
                  <c:v>97.275363636363593</c:v>
                </c:pt>
                <c:pt idx="55">
                  <c:v>97.176493750000006</c:v>
                </c:pt>
                <c:pt idx="56">
                  <c:v>70.866494609164207</c:v>
                </c:pt>
                <c:pt idx="57">
                  <c:v>97.084149532710299</c:v>
                </c:pt>
                <c:pt idx="58">
                  <c:v>70.857464333781806</c:v>
                </c:pt>
                <c:pt idx="59">
                  <c:v>96.991357142857098</c:v>
                </c:pt>
                <c:pt idx="60">
                  <c:v>70.849040322580393</c:v>
                </c:pt>
                <c:pt idx="61">
                  <c:v>96.892668730650101</c:v>
                </c:pt>
                <c:pt idx="62">
                  <c:v>96.787382716049393</c:v>
                </c:pt>
                <c:pt idx="63">
                  <c:v>96.702412307692299</c:v>
                </c:pt>
                <c:pt idx="64">
                  <c:v>70.838009395973003</c:v>
                </c:pt>
                <c:pt idx="65">
                  <c:v>96.614754601227006</c:v>
                </c:pt>
                <c:pt idx="66">
                  <c:v>96.519189602446502</c:v>
                </c:pt>
                <c:pt idx="67">
                  <c:v>70.827455764074898</c:v>
                </c:pt>
                <c:pt idx="68">
                  <c:v>96.423033536585294</c:v>
                </c:pt>
                <c:pt idx="69">
                  <c:v>96.342103343464998</c:v>
                </c:pt>
                <c:pt idx="70">
                  <c:v>96.254196969696906</c:v>
                </c:pt>
                <c:pt idx="71">
                  <c:v>70.810693440428196</c:v>
                </c:pt>
                <c:pt idx="72">
                  <c:v>70.802254010694995</c:v>
                </c:pt>
                <c:pt idx="73">
                  <c:v>96.173667673715997</c:v>
                </c:pt>
                <c:pt idx="74">
                  <c:v>96.094855421686702</c:v>
                </c:pt>
                <c:pt idx="75">
                  <c:v>70.782532710280194</c:v>
                </c:pt>
                <c:pt idx="76">
                  <c:v>70.769049333333101</c:v>
                </c:pt>
                <c:pt idx="77">
                  <c:v>95.998069069069004</c:v>
                </c:pt>
                <c:pt idx="78">
                  <c:v>70.761543275632306</c:v>
                </c:pt>
                <c:pt idx="79">
                  <c:v>95.905508982035897</c:v>
                </c:pt>
                <c:pt idx="80">
                  <c:v>95.813776119403002</c:v>
                </c:pt>
                <c:pt idx="81">
                  <c:v>95.717458333333298</c:v>
                </c:pt>
                <c:pt idx="82">
                  <c:v>95.619091988130506</c:v>
                </c:pt>
                <c:pt idx="83">
                  <c:v>70.763253989361502</c:v>
                </c:pt>
                <c:pt idx="84">
                  <c:v>70.756703851261406</c:v>
                </c:pt>
                <c:pt idx="85">
                  <c:v>70.748437665782305</c:v>
                </c:pt>
                <c:pt idx="86">
                  <c:v>70.746817218542901</c:v>
                </c:pt>
                <c:pt idx="87">
                  <c:v>70.741067460317296</c:v>
                </c:pt>
                <c:pt idx="88">
                  <c:v>60.724301834352303</c:v>
                </c:pt>
                <c:pt idx="89">
                  <c:v>60.718796666666599</c:v>
                </c:pt>
                <c:pt idx="90">
                  <c:v>60.712047751249202</c:v>
                </c:pt>
                <c:pt idx="91">
                  <c:v>32.2470124610591</c:v>
                </c:pt>
                <c:pt idx="92">
                  <c:v>60.706980577136399</c:v>
                </c:pt>
                <c:pt idx="93">
                  <c:v>44.520419920318702</c:v>
                </c:pt>
                <c:pt idx="94">
                  <c:v>32.259284232365097</c:v>
                </c:pt>
                <c:pt idx="95">
                  <c:v>60.697835274542399</c:v>
                </c:pt>
                <c:pt idx="96">
                  <c:v>60.697538248336997</c:v>
                </c:pt>
                <c:pt idx="97">
                  <c:v>43.709672697368397</c:v>
                </c:pt>
                <c:pt idx="98">
                  <c:v>60.693585041551202</c:v>
                </c:pt>
                <c:pt idx="99">
                  <c:v>43.698019704433499</c:v>
                </c:pt>
                <c:pt idx="100">
                  <c:v>44.558630573248401</c:v>
                </c:pt>
                <c:pt idx="101">
                  <c:v>60.691125138427402</c:v>
                </c:pt>
                <c:pt idx="102">
                  <c:v>49.647613937282102</c:v>
                </c:pt>
                <c:pt idx="103">
                  <c:v>60.693314333148798</c:v>
                </c:pt>
                <c:pt idx="104">
                  <c:v>53.554676767676703</c:v>
                </c:pt>
                <c:pt idx="105">
                  <c:v>49.649071727019297</c:v>
                </c:pt>
                <c:pt idx="106">
                  <c:v>54.382535796766703</c:v>
                </c:pt>
                <c:pt idx="107">
                  <c:v>60.685137168141502</c:v>
                </c:pt>
                <c:pt idx="108">
                  <c:v>32.280919170984397</c:v>
                </c:pt>
                <c:pt idx="109">
                  <c:v>32.292731884057901</c:v>
                </c:pt>
                <c:pt idx="110">
                  <c:v>54.470078341013803</c:v>
                </c:pt>
                <c:pt idx="111">
                  <c:v>43.732496721311499</c:v>
                </c:pt>
                <c:pt idx="112">
                  <c:v>60.670422885572101</c:v>
                </c:pt>
                <c:pt idx="113">
                  <c:v>60.662283425414302</c:v>
                </c:pt>
                <c:pt idx="114">
                  <c:v>60.661215902815997</c:v>
                </c:pt>
                <c:pt idx="115">
                  <c:v>49.6789610299233</c:v>
                </c:pt>
                <c:pt idx="116">
                  <c:v>54.525519540229901</c:v>
                </c:pt>
                <c:pt idx="117">
                  <c:v>60.6469889624723</c:v>
                </c:pt>
                <c:pt idx="118">
                  <c:v>44.592841686555197</c:v>
                </c:pt>
                <c:pt idx="119">
                  <c:v>43.721472995089997</c:v>
                </c:pt>
                <c:pt idx="120">
                  <c:v>60.638719801434</c:v>
                </c:pt>
                <c:pt idx="121">
                  <c:v>60.624521499448697</c:v>
                </c:pt>
                <c:pt idx="122">
                  <c:v>60.6150330578512</c:v>
                </c:pt>
                <c:pt idx="123">
                  <c:v>54.592908256880698</c:v>
                </c:pt>
                <c:pt idx="124">
                  <c:v>49.702529207232097</c:v>
                </c:pt>
                <c:pt idx="125">
                  <c:v>60.613565528634297</c:v>
                </c:pt>
                <c:pt idx="126">
                  <c:v>32.309698035160203</c:v>
                </c:pt>
                <c:pt idx="127">
                  <c:v>60.604174463401101</c:v>
                </c:pt>
                <c:pt idx="128">
                  <c:v>60.599617161716097</c:v>
                </c:pt>
                <c:pt idx="129">
                  <c:v>43.7540032679738</c:v>
                </c:pt>
                <c:pt idx="130">
                  <c:v>43.757003262642698</c:v>
                </c:pt>
                <c:pt idx="131">
                  <c:v>43.758231270358301</c:v>
                </c:pt>
                <c:pt idx="132">
                  <c:v>60.592642111049997</c:v>
                </c:pt>
                <c:pt idx="133">
                  <c:v>32.341112603305703</c:v>
                </c:pt>
                <c:pt idx="134">
                  <c:v>43.785790243902397</c:v>
                </c:pt>
                <c:pt idx="135">
                  <c:v>60.581893956043899</c:v>
                </c:pt>
                <c:pt idx="136">
                  <c:v>54.705405034324897</c:v>
                </c:pt>
                <c:pt idx="137">
                  <c:v>53.595670870113402</c:v>
                </c:pt>
                <c:pt idx="138">
                  <c:v>60.5753152114222</c:v>
                </c:pt>
                <c:pt idx="139">
                  <c:v>32.361056759545797</c:v>
                </c:pt>
                <c:pt idx="140">
                  <c:v>60.562457738748599</c:v>
                </c:pt>
                <c:pt idx="141">
                  <c:v>54.770883561643799</c:v>
                </c:pt>
                <c:pt idx="142">
                  <c:v>54.811034168564902</c:v>
                </c:pt>
                <c:pt idx="143">
                  <c:v>49.7141577484363</c:v>
                </c:pt>
                <c:pt idx="144">
                  <c:v>54.868095454545397</c:v>
                </c:pt>
                <c:pt idx="145">
                  <c:v>43.8189107142857</c:v>
                </c:pt>
                <c:pt idx="146">
                  <c:v>54.919689342403601</c:v>
                </c:pt>
                <c:pt idx="147">
                  <c:v>70.734992073976002</c:v>
                </c:pt>
                <c:pt idx="148">
                  <c:v>70.803271767809804</c:v>
                </c:pt>
                <c:pt idx="149">
                  <c:v>95.535147928994107</c:v>
                </c:pt>
                <c:pt idx="150">
                  <c:v>166.00824763193401</c:v>
                </c:pt>
                <c:pt idx="151">
                  <c:v>70.854803689064397</c:v>
                </c:pt>
                <c:pt idx="152">
                  <c:v>70.908843421052396</c:v>
                </c:pt>
                <c:pt idx="153">
                  <c:v>70.989480946123294</c:v>
                </c:pt>
                <c:pt idx="154">
                  <c:v>165.94849594594501</c:v>
                </c:pt>
                <c:pt idx="155">
                  <c:v>71.054320209973596</c:v>
                </c:pt>
                <c:pt idx="156">
                  <c:v>165.92214035087699</c:v>
                </c:pt>
                <c:pt idx="157">
                  <c:v>71.116648754914607</c:v>
                </c:pt>
                <c:pt idx="158">
                  <c:v>71.198408376963101</c:v>
                </c:pt>
                <c:pt idx="159">
                  <c:v>165.86916172506699</c:v>
                </c:pt>
                <c:pt idx="160">
                  <c:v>71.251179084967106</c:v>
                </c:pt>
                <c:pt idx="161">
                  <c:v>71.338084856396705</c:v>
                </c:pt>
                <c:pt idx="162">
                  <c:v>71.410391134289199</c:v>
                </c:pt>
                <c:pt idx="163">
                  <c:v>71.4700442708331</c:v>
                </c:pt>
                <c:pt idx="164">
                  <c:v>71.5407204161246</c:v>
                </c:pt>
                <c:pt idx="165">
                  <c:v>71.629740259740103</c:v>
                </c:pt>
                <c:pt idx="166">
                  <c:v>95.635519174041306</c:v>
                </c:pt>
                <c:pt idx="167">
                  <c:v>95.745702941176404</c:v>
                </c:pt>
                <c:pt idx="168">
                  <c:v>71.681219195849394</c:v>
                </c:pt>
                <c:pt idx="169">
                  <c:v>71.736805699481707</c:v>
                </c:pt>
                <c:pt idx="170">
                  <c:v>165.80306998654001</c:v>
                </c:pt>
                <c:pt idx="171">
                  <c:v>71.784089262612994</c:v>
                </c:pt>
                <c:pt idx="172">
                  <c:v>95.722607038123101</c:v>
                </c:pt>
                <c:pt idx="173">
                  <c:v>71.848488372092802</c:v>
                </c:pt>
                <c:pt idx="174">
                  <c:v>71.789963870967497</c:v>
                </c:pt>
                <c:pt idx="175">
                  <c:v>71.8029123711338</c:v>
                </c:pt>
                <c:pt idx="176">
                  <c:v>165.73185483870901</c:v>
                </c:pt>
                <c:pt idx="177">
                  <c:v>165.69399328859001</c:v>
                </c:pt>
                <c:pt idx="178">
                  <c:v>165.670179624664</c:v>
                </c:pt>
                <c:pt idx="179">
                  <c:v>95.770578947368406</c:v>
                </c:pt>
                <c:pt idx="180">
                  <c:v>95.785661807580098</c:v>
                </c:pt>
                <c:pt idx="181">
                  <c:v>165.74256091030699</c:v>
                </c:pt>
                <c:pt idx="182">
                  <c:v>95.819793604651096</c:v>
                </c:pt>
                <c:pt idx="183">
                  <c:v>165.664979946523</c:v>
                </c:pt>
                <c:pt idx="184">
                  <c:v>165.58815620827701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42-4C45-8033-9FB1ADB2F674}"/>
            </c:ext>
          </c:extLst>
        </c:ser>
        <c:ser>
          <c:idx val="1"/>
          <c:order val="1"/>
          <c:tx>
            <c:v>Real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Arkusz1!$A$2:$A$186</c:f>
              <c:numCache>
                <c:formatCode>General</c:formatCode>
                <c:ptCount val="18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</c:numCache>
            </c:numRef>
          </c:xVal>
          <c:yVal>
            <c:numRef>
              <c:f>Arkusz1!$H$2:$H$186</c:f>
              <c:numCache>
                <c:formatCode>General</c:formatCode>
                <c:ptCount val="185"/>
                <c:pt idx="0">
                  <c:v>199.416</c:v>
                </c:pt>
                <c:pt idx="1">
                  <c:v>173.506</c:v>
                </c:pt>
                <c:pt idx="2">
                  <c:v>185.59</c:v>
                </c:pt>
                <c:pt idx="3">
                  <c:v>113.304</c:v>
                </c:pt>
                <c:pt idx="4">
                  <c:v>112.85299999999999</c:v>
                </c:pt>
                <c:pt idx="5">
                  <c:v>138.92400000000001</c:v>
                </c:pt>
                <c:pt idx="6">
                  <c:v>152.80000000000001</c:v>
                </c:pt>
                <c:pt idx="7">
                  <c:v>125.274</c:v>
                </c:pt>
                <c:pt idx="8">
                  <c:v>122.907</c:v>
                </c:pt>
                <c:pt idx="9">
                  <c:v>114.66200000000001</c:v>
                </c:pt>
                <c:pt idx="10">
                  <c:v>190.374</c:v>
                </c:pt>
                <c:pt idx="11">
                  <c:v>150.74700000000001</c:v>
                </c:pt>
                <c:pt idx="12">
                  <c:v>127.88500000000001</c:v>
                </c:pt>
                <c:pt idx="13">
                  <c:v>115.44499999999999</c:v>
                </c:pt>
                <c:pt idx="14">
                  <c:v>114.806</c:v>
                </c:pt>
                <c:pt idx="15">
                  <c:v>117.584</c:v>
                </c:pt>
                <c:pt idx="16">
                  <c:v>149.54</c:v>
                </c:pt>
                <c:pt idx="17">
                  <c:v>54.648000000000003</c:v>
                </c:pt>
                <c:pt idx="18">
                  <c:v>93.855999999999995</c:v>
                </c:pt>
                <c:pt idx="19">
                  <c:v>96.444999999999993</c:v>
                </c:pt>
                <c:pt idx="20">
                  <c:v>84.043999999999997</c:v>
                </c:pt>
                <c:pt idx="21">
                  <c:v>66.41</c:v>
                </c:pt>
                <c:pt idx="22">
                  <c:v>82.018000000000001</c:v>
                </c:pt>
                <c:pt idx="23">
                  <c:v>73.405000000000001</c:v>
                </c:pt>
                <c:pt idx="24">
                  <c:v>105.526</c:v>
                </c:pt>
                <c:pt idx="25">
                  <c:v>45.079000000000001</c:v>
                </c:pt>
                <c:pt idx="26">
                  <c:v>43.198999999999998</c:v>
                </c:pt>
                <c:pt idx="27">
                  <c:v>87.566999999999993</c:v>
                </c:pt>
                <c:pt idx="28">
                  <c:v>64.376999999999995</c:v>
                </c:pt>
                <c:pt idx="29">
                  <c:v>42.926000000000002</c:v>
                </c:pt>
                <c:pt idx="30">
                  <c:v>52.628</c:v>
                </c:pt>
                <c:pt idx="31">
                  <c:v>67.881</c:v>
                </c:pt>
                <c:pt idx="32">
                  <c:v>72.698999999999998</c:v>
                </c:pt>
                <c:pt idx="33">
                  <c:v>71.662999999999997</c:v>
                </c:pt>
                <c:pt idx="34">
                  <c:v>67.811000000000007</c:v>
                </c:pt>
                <c:pt idx="35">
                  <c:v>66.587000000000003</c:v>
                </c:pt>
                <c:pt idx="36">
                  <c:v>64.265000000000001</c:v>
                </c:pt>
                <c:pt idx="37">
                  <c:v>69.64</c:v>
                </c:pt>
                <c:pt idx="38">
                  <c:v>64.004000000000005</c:v>
                </c:pt>
                <c:pt idx="39">
                  <c:v>65.113</c:v>
                </c:pt>
                <c:pt idx="40">
                  <c:v>68.891000000000005</c:v>
                </c:pt>
                <c:pt idx="41">
                  <c:v>64.63</c:v>
                </c:pt>
                <c:pt idx="42">
                  <c:v>56.186999999999998</c:v>
                </c:pt>
                <c:pt idx="43">
                  <c:v>64.531000000000006</c:v>
                </c:pt>
                <c:pt idx="44">
                  <c:v>68.147999999999996</c:v>
                </c:pt>
                <c:pt idx="45">
                  <c:v>68.602000000000004</c:v>
                </c:pt>
                <c:pt idx="46">
                  <c:v>71.378</c:v>
                </c:pt>
                <c:pt idx="47">
                  <c:v>65.984999999999999</c:v>
                </c:pt>
                <c:pt idx="48">
                  <c:v>61.966000000000001</c:v>
                </c:pt>
                <c:pt idx="49">
                  <c:v>64.224999999999994</c:v>
                </c:pt>
                <c:pt idx="50">
                  <c:v>66.634</c:v>
                </c:pt>
                <c:pt idx="51">
                  <c:v>62.414999999999999</c:v>
                </c:pt>
                <c:pt idx="52">
                  <c:v>66.524000000000001</c:v>
                </c:pt>
                <c:pt idx="53">
                  <c:v>68.950999999999993</c:v>
                </c:pt>
                <c:pt idx="54">
                  <c:v>65.637</c:v>
                </c:pt>
                <c:pt idx="55">
                  <c:v>67.534000000000006</c:v>
                </c:pt>
                <c:pt idx="56">
                  <c:v>64.156999999999996</c:v>
                </c:pt>
                <c:pt idx="57">
                  <c:v>67.204999999999998</c:v>
                </c:pt>
                <c:pt idx="58">
                  <c:v>64.59</c:v>
                </c:pt>
                <c:pt idx="59">
                  <c:v>65.114999999999995</c:v>
                </c:pt>
                <c:pt idx="60">
                  <c:v>62.631</c:v>
                </c:pt>
                <c:pt idx="61">
                  <c:v>62.78</c:v>
                </c:pt>
                <c:pt idx="62">
                  <c:v>69.171999999999997</c:v>
                </c:pt>
                <c:pt idx="63">
                  <c:v>68.126000000000005</c:v>
                </c:pt>
                <c:pt idx="64">
                  <c:v>62.965000000000003</c:v>
                </c:pt>
                <c:pt idx="65">
                  <c:v>65.364999999999995</c:v>
                </c:pt>
                <c:pt idx="66">
                  <c:v>64.98</c:v>
                </c:pt>
                <c:pt idx="67">
                  <c:v>58.305999999999997</c:v>
                </c:pt>
                <c:pt idx="68">
                  <c:v>69.796999999999997</c:v>
                </c:pt>
                <c:pt idx="69">
                  <c:v>67.332999999999998</c:v>
                </c:pt>
                <c:pt idx="70">
                  <c:v>69.599000000000004</c:v>
                </c:pt>
                <c:pt idx="71">
                  <c:v>64.498000000000005</c:v>
                </c:pt>
                <c:pt idx="72">
                  <c:v>56.030999999999999</c:v>
                </c:pt>
                <c:pt idx="73">
                  <c:v>70.007999999999996</c:v>
                </c:pt>
                <c:pt idx="74">
                  <c:v>63.865000000000002</c:v>
                </c:pt>
                <c:pt idx="75">
                  <c:v>60.67</c:v>
                </c:pt>
                <c:pt idx="76">
                  <c:v>65.132000000000005</c:v>
                </c:pt>
                <c:pt idx="77">
                  <c:v>65.082999999999998</c:v>
                </c:pt>
                <c:pt idx="78">
                  <c:v>72.048000000000002</c:v>
                </c:pt>
                <c:pt idx="79">
                  <c:v>65.174999999999997</c:v>
                </c:pt>
                <c:pt idx="80">
                  <c:v>63.451000000000001</c:v>
                </c:pt>
                <c:pt idx="81">
                  <c:v>62.567999999999998</c:v>
                </c:pt>
                <c:pt idx="82">
                  <c:v>67.245999999999995</c:v>
                </c:pt>
                <c:pt idx="83">
                  <c:v>65.831000000000003</c:v>
                </c:pt>
                <c:pt idx="84">
                  <c:v>64.524000000000001</c:v>
                </c:pt>
                <c:pt idx="85">
                  <c:v>69.525000000000006</c:v>
                </c:pt>
                <c:pt idx="86">
                  <c:v>66.400000000000006</c:v>
                </c:pt>
                <c:pt idx="87">
                  <c:v>66.141999999999996</c:v>
                </c:pt>
                <c:pt idx="88">
                  <c:v>50.814999999999998</c:v>
                </c:pt>
                <c:pt idx="89">
                  <c:v>48.564</c:v>
                </c:pt>
                <c:pt idx="90">
                  <c:v>51.581000000000003</c:v>
                </c:pt>
                <c:pt idx="91">
                  <c:v>44.076999999999998</c:v>
                </c:pt>
                <c:pt idx="92">
                  <c:v>44.218000000000004</c:v>
                </c:pt>
                <c:pt idx="93">
                  <c:v>92.513000000000005</c:v>
                </c:pt>
                <c:pt idx="94">
                  <c:v>53.137</c:v>
                </c:pt>
                <c:pt idx="95">
                  <c:v>60.161999999999999</c:v>
                </c:pt>
                <c:pt idx="96">
                  <c:v>53.561999999999998</c:v>
                </c:pt>
                <c:pt idx="97">
                  <c:v>36.613</c:v>
                </c:pt>
                <c:pt idx="98">
                  <c:v>56.250999999999998</c:v>
                </c:pt>
                <c:pt idx="99">
                  <c:v>64.728999999999999</c:v>
                </c:pt>
                <c:pt idx="100">
                  <c:v>87.561999999999998</c:v>
                </c:pt>
                <c:pt idx="101">
                  <c:v>64.647000000000006</c:v>
                </c:pt>
                <c:pt idx="102">
                  <c:v>51.741</c:v>
                </c:pt>
                <c:pt idx="103">
                  <c:v>45.908999999999999</c:v>
                </c:pt>
                <c:pt idx="104">
                  <c:v>86.063000000000002</c:v>
                </c:pt>
                <c:pt idx="105">
                  <c:v>92.6</c:v>
                </c:pt>
                <c:pt idx="106">
                  <c:v>92.376000000000005</c:v>
                </c:pt>
                <c:pt idx="107">
                  <c:v>34.067</c:v>
                </c:pt>
                <c:pt idx="108">
                  <c:v>43.692</c:v>
                </c:pt>
                <c:pt idx="109">
                  <c:v>48.698999999999998</c:v>
                </c:pt>
                <c:pt idx="110">
                  <c:v>78.587000000000003</c:v>
                </c:pt>
                <c:pt idx="111">
                  <c:v>36.997</c:v>
                </c:pt>
                <c:pt idx="112">
                  <c:v>45.938000000000002</c:v>
                </c:pt>
                <c:pt idx="113">
                  <c:v>58.728999999999999</c:v>
                </c:pt>
                <c:pt idx="114">
                  <c:v>34.881999999999998</c:v>
                </c:pt>
                <c:pt idx="115">
                  <c:v>83.57</c:v>
                </c:pt>
                <c:pt idx="116">
                  <c:v>83.906999999999996</c:v>
                </c:pt>
                <c:pt idx="117">
                  <c:v>45.655000000000001</c:v>
                </c:pt>
                <c:pt idx="118">
                  <c:v>75.977999999999994</c:v>
                </c:pt>
                <c:pt idx="119">
                  <c:v>63.63</c:v>
                </c:pt>
                <c:pt idx="120">
                  <c:v>34.883000000000003</c:v>
                </c:pt>
                <c:pt idx="121">
                  <c:v>43.402999999999999</c:v>
                </c:pt>
                <c:pt idx="122">
                  <c:v>57.95</c:v>
                </c:pt>
                <c:pt idx="123">
                  <c:v>103.754</c:v>
                </c:pt>
                <c:pt idx="124">
                  <c:v>66.436000000000007</c:v>
                </c:pt>
                <c:pt idx="125">
                  <c:v>43.55</c:v>
                </c:pt>
                <c:pt idx="126">
                  <c:v>62.719000000000001</c:v>
                </c:pt>
                <c:pt idx="127">
                  <c:v>52.319000000000003</c:v>
                </c:pt>
                <c:pt idx="128">
                  <c:v>47.911999999999999</c:v>
                </c:pt>
                <c:pt idx="129">
                  <c:v>45.593000000000004</c:v>
                </c:pt>
                <c:pt idx="130">
                  <c:v>44.511000000000003</c:v>
                </c:pt>
                <c:pt idx="131">
                  <c:v>60.707000000000001</c:v>
                </c:pt>
                <c:pt idx="132">
                  <c:v>41.030999999999999</c:v>
                </c:pt>
                <c:pt idx="133">
                  <c:v>51.667000000000002</c:v>
                </c:pt>
                <c:pt idx="134">
                  <c:v>64.188000000000002</c:v>
                </c:pt>
                <c:pt idx="135">
                  <c:v>48.601999999999997</c:v>
                </c:pt>
                <c:pt idx="136">
                  <c:v>83.385000000000005</c:v>
                </c:pt>
                <c:pt idx="137">
                  <c:v>71.817999999999998</c:v>
                </c:pt>
                <c:pt idx="138">
                  <c:v>37.149000000000001</c:v>
                </c:pt>
                <c:pt idx="139">
                  <c:v>61.27</c:v>
                </c:pt>
                <c:pt idx="140">
                  <c:v>50.631999999999998</c:v>
                </c:pt>
                <c:pt idx="141">
                  <c:v>72.397000000000006</c:v>
                </c:pt>
                <c:pt idx="142">
                  <c:v>79.918000000000006</c:v>
                </c:pt>
                <c:pt idx="143">
                  <c:v>60.670999999999999</c:v>
                </c:pt>
                <c:pt idx="144">
                  <c:v>77.620999999999995</c:v>
                </c:pt>
                <c:pt idx="145">
                  <c:v>56.975000000000001</c:v>
                </c:pt>
                <c:pt idx="146">
                  <c:v>87.427999999999997</c:v>
                </c:pt>
                <c:pt idx="147">
                  <c:v>122.491</c:v>
                </c:pt>
                <c:pt idx="148">
                  <c:v>109.916</c:v>
                </c:pt>
                <c:pt idx="149">
                  <c:v>129.56100000000001</c:v>
                </c:pt>
                <c:pt idx="150">
                  <c:v>121.792</c:v>
                </c:pt>
                <c:pt idx="151">
                  <c:v>111.925</c:v>
                </c:pt>
                <c:pt idx="152">
                  <c:v>132.274</c:v>
                </c:pt>
                <c:pt idx="153">
                  <c:v>120.39700000000001</c:v>
                </c:pt>
                <c:pt idx="154">
                  <c:v>146.41900000000001</c:v>
                </c:pt>
                <c:pt idx="155">
                  <c:v>118.611</c:v>
                </c:pt>
                <c:pt idx="156">
                  <c:v>126.61199999999999</c:v>
                </c:pt>
                <c:pt idx="157">
                  <c:v>133.58099999999999</c:v>
                </c:pt>
                <c:pt idx="158">
                  <c:v>111.568</c:v>
                </c:pt>
                <c:pt idx="159">
                  <c:v>116.76300000000001</c:v>
                </c:pt>
                <c:pt idx="160">
                  <c:v>137.821</c:v>
                </c:pt>
                <c:pt idx="161">
                  <c:v>126.797</c:v>
                </c:pt>
                <c:pt idx="162">
                  <c:v>117.224</c:v>
                </c:pt>
                <c:pt idx="163">
                  <c:v>125.82</c:v>
                </c:pt>
                <c:pt idx="164">
                  <c:v>140.08600000000001</c:v>
                </c:pt>
                <c:pt idx="165">
                  <c:v>111.32</c:v>
                </c:pt>
                <c:pt idx="166">
                  <c:v>133.09800000000001</c:v>
                </c:pt>
                <c:pt idx="167">
                  <c:v>87.87</c:v>
                </c:pt>
                <c:pt idx="168">
                  <c:v>114.59399999999999</c:v>
                </c:pt>
                <c:pt idx="169">
                  <c:v>108.28700000000001</c:v>
                </c:pt>
                <c:pt idx="170">
                  <c:v>112.819</c:v>
                </c:pt>
                <c:pt idx="171">
                  <c:v>121.629</c:v>
                </c:pt>
                <c:pt idx="172">
                  <c:v>112.129</c:v>
                </c:pt>
                <c:pt idx="173">
                  <c:v>26.492000000000001</c:v>
                </c:pt>
                <c:pt idx="174">
                  <c:v>81.837999999999994</c:v>
                </c:pt>
                <c:pt idx="175">
                  <c:v>106.398</c:v>
                </c:pt>
                <c:pt idx="176">
                  <c:v>137.52500000000001</c:v>
                </c:pt>
                <c:pt idx="177">
                  <c:v>147.929</c:v>
                </c:pt>
                <c:pt idx="178">
                  <c:v>219.739</c:v>
                </c:pt>
                <c:pt idx="179">
                  <c:v>100.944</c:v>
                </c:pt>
                <c:pt idx="180">
                  <c:v>107.527</c:v>
                </c:pt>
                <c:pt idx="181">
                  <c:v>107.712</c:v>
                </c:pt>
                <c:pt idx="182">
                  <c:v>98.052999999999997</c:v>
                </c:pt>
                <c:pt idx="183">
                  <c:v>108.124</c:v>
                </c:pt>
                <c:pt idx="184">
                  <c:v>135.864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342-4C45-8033-9FB1ADB2F6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539952"/>
        <c:axId val="194544752"/>
      </c:scatterChart>
      <c:valAx>
        <c:axId val="19453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44752"/>
        <c:crosses val="autoZero"/>
        <c:crossBetween val="midCat"/>
      </c:valAx>
      <c:valAx>
        <c:axId val="1945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945399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1399309</xdr:colOff>
      <xdr:row>4</xdr:row>
      <xdr:rowOff>127660</xdr:rowOff>
    </xdr:from>
    <xdr:to>
      <xdr:col>25</xdr:col>
      <xdr:colOff>598714</xdr:colOff>
      <xdr:row>34</xdr:row>
      <xdr:rowOff>124690</xdr:rowOff>
    </xdr:to>
    <xdr:graphicFrame macro="">
      <xdr:nvGraphicFramePr>
        <xdr:cNvPr id="4" name="Wykres 3">
          <a:extLst>
            <a:ext uri="{FF2B5EF4-FFF2-40B4-BE49-F238E27FC236}">
              <a16:creationId xmlns:a16="http://schemas.microsoft.com/office/drawing/2014/main" id="{1AFADF50-47A8-DEF4-BDDE-9F923EC2B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4"/>
  <sheetViews>
    <sheetView tabSelected="1" zoomScale="85" zoomScaleNormal="85" workbookViewId="0">
      <selection activeCell="T1" sqref="T1:X1048576"/>
    </sheetView>
  </sheetViews>
  <sheetFormatPr defaultRowHeight="14.4" x14ac:dyDescent="0.3"/>
  <cols>
    <col min="21" max="21" width="12.44140625" bestFit="1" customWidth="1"/>
    <col min="22" max="22" width="11.88671875" bestFit="1" customWidth="1"/>
    <col min="23" max="23" width="14" bestFit="1" customWidth="1"/>
    <col min="24" max="24" width="13" bestFit="1" customWidth="1"/>
  </cols>
  <sheetData>
    <row r="1" spans="1:24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12</v>
      </c>
      <c r="G1" t="s">
        <v>11</v>
      </c>
      <c r="H1" t="s">
        <v>10</v>
      </c>
      <c r="I1" t="s">
        <v>9</v>
      </c>
      <c r="J1" t="s">
        <v>8</v>
      </c>
      <c r="K1" t="s">
        <v>7</v>
      </c>
      <c r="L1" t="s">
        <v>6</v>
      </c>
      <c r="M1" t="s">
        <v>5</v>
      </c>
      <c r="N1" t="s">
        <v>4</v>
      </c>
      <c r="O1" t="s">
        <v>3</v>
      </c>
      <c r="P1" t="s">
        <v>2</v>
      </c>
      <c r="Q1" t="s">
        <v>1</v>
      </c>
      <c r="R1" t="s">
        <v>0</v>
      </c>
      <c r="T1" t="s">
        <v>220</v>
      </c>
      <c r="U1" t="s">
        <v>221</v>
      </c>
      <c r="V1" t="s">
        <v>222</v>
      </c>
      <c r="W1" t="s">
        <v>223</v>
      </c>
      <c r="X1" t="s">
        <v>224</v>
      </c>
    </row>
    <row r="2" spans="1:24" x14ac:dyDescent="0.3">
      <c r="A2">
        <v>1</v>
      </c>
      <c r="B2">
        <v>1</v>
      </c>
      <c r="C2">
        <v>1750891174</v>
      </c>
      <c r="D2">
        <v>1750891272.04498</v>
      </c>
      <c r="E2">
        <v>98.044983443708603</v>
      </c>
      <c r="F2">
        <v>1750891174</v>
      </c>
      <c r="G2">
        <v>1750891374</v>
      </c>
      <c r="H2">
        <v>199.416</v>
      </c>
      <c r="I2">
        <v>-101.371016556291</v>
      </c>
      <c r="J2">
        <v>101.371016556291</v>
      </c>
      <c r="K2">
        <v>68.157521287476499</v>
      </c>
      <c r="L2">
        <v>-101.95501661300599</v>
      </c>
      <c r="M2">
        <v>101.95501661300599</v>
      </c>
      <c r="N2" s="3">
        <v>5.8230351177368198E-6</v>
      </c>
      <c r="O2" s="2">
        <v>45833.944143518522</v>
      </c>
      <c r="P2" s="2">
        <v>45833.945278298612</v>
      </c>
      <c r="Q2" s="1" t="s">
        <v>18</v>
      </c>
      <c r="R2" s="1" t="s">
        <v>19</v>
      </c>
      <c r="T2">
        <f>H2-E2</f>
        <v>101.37101655629139</v>
      </c>
      <c r="U2">
        <f>AVERAGE(T2:T194)</f>
        <v>-0.61645412544393419</v>
      </c>
      <c r="V2">
        <f>MEDIAN(T2:T194)</f>
        <v>-4.9322539893614987</v>
      </c>
      <c r="W2">
        <f>COUNTIF(T2:T194,"&lt;0")/COUNT(T2:T194)</f>
        <v>0.56994818652849744</v>
      </c>
      <c r="X2">
        <f>COUNTIF(T2:T194,"&gt;0")/COUNT(T2:T194)</f>
        <v>0.43005181347150256</v>
      </c>
    </row>
    <row r="3" spans="1:24" x14ac:dyDescent="0.3">
      <c r="A3">
        <v>2</v>
      </c>
      <c r="B3">
        <v>2</v>
      </c>
      <c r="C3">
        <v>1750891174</v>
      </c>
      <c r="D3">
        <v>1750891272.37954</v>
      </c>
      <c r="E3">
        <v>98.3795412541254</v>
      </c>
      <c r="F3">
        <v>1750891214</v>
      </c>
      <c r="G3">
        <v>1750891387</v>
      </c>
      <c r="H3">
        <v>173.506</v>
      </c>
      <c r="I3">
        <v>-75.126458745874501</v>
      </c>
      <c r="J3">
        <v>75.126458745874501</v>
      </c>
      <c r="K3">
        <v>55.263298224200497</v>
      </c>
      <c r="L3">
        <v>-114.620458841323</v>
      </c>
      <c r="M3">
        <v>114.620458841323</v>
      </c>
      <c r="N3" s="3">
        <v>6.54640621594903E-6</v>
      </c>
      <c r="O3" s="2">
        <v>45833.944143518522</v>
      </c>
      <c r="P3" s="2">
        <v>45833.945282175926</v>
      </c>
      <c r="Q3" s="1" t="s">
        <v>20</v>
      </c>
      <c r="R3" s="1" t="s">
        <v>21</v>
      </c>
      <c r="T3">
        <f t="shared" ref="T3:T66" si="0">H3-E3</f>
        <v>75.126458745874601</v>
      </c>
    </row>
    <row r="4" spans="1:24" x14ac:dyDescent="0.3">
      <c r="A4">
        <v>3</v>
      </c>
      <c r="B4">
        <v>3</v>
      </c>
      <c r="C4">
        <v>1750891174</v>
      </c>
      <c r="D4">
        <v>1750891340.4960699</v>
      </c>
      <c r="E4">
        <v>166.496073002754</v>
      </c>
      <c r="F4">
        <v>1750891292</v>
      </c>
      <c r="G4">
        <v>1750891477</v>
      </c>
      <c r="H4">
        <v>185.59</v>
      </c>
      <c r="I4">
        <v>-19.093926997245301</v>
      </c>
      <c r="J4">
        <v>19.093926997245301</v>
      </c>
      <c r="K4">
        <v>10.8461699915611</v>
      </c>
      <c r="L4">
        <v>-136.50392699241601</v>
      </c>
      <c r="M4">
        <v>136.50392699241601</v>
      </c>
      <c r="N4" s="3">
        <v>7.7962531719784102E-6</v>
      </c>
      <c r="O4" s="2">
        <v>45833.944143518522</v>
      </c>
      <c r="P4" s="2">
        <v>45833.946070555554</v>
      </c>
      <c r="Q4" s="1" t="s">
        <v>22</v>
      </c>
      <c r="R4" s="1" t="s">
        <v>23</v>
      </c>
      <c r="T4">
        <f t="shared" si="0"/>
        <v>19.093926997246001</v>
      </c>
    </row>
    <row r="5" spans="1:24" x14ac:dyDescent="0.3">
      <c r="A5">
        <v>4</v>
      </c>
      <c r="B5">
        <v>1</v>
      </c>
      <c r="C5">
        <v>1750891272.04498</v>
      </c>
      <c r="D5">
        <v>1750891342.91082</v>
      </c>
      <c r="E5">
        <v>70.865838797814007</v>
      </c>
      <c r="F5">
        <v>1750891374</v>
      </c>
      <c r="G5">
        <v>1750891487</v>
      </c>
      <c r="H5">
        <v>113.304</v>
      </c>
      <c r="I5">
        <v>-42.438161202185903</v>
      </c>
      <c r="J5">
        <v>42.438161202185903</v>
      </c>
      <c r="K5">
        <v>46.085897103678803</v>
      </c>
      <c r="L5">
        <v>-144.089177846908</v>
      </c>
      <c r="M5">
        <v>144.089177846908</v>
      </c>
      <c r="N5" s="3">
        <v>8.2294753755805003E-6</v>
      </c>
      <c r="O5" s="2">
        <v>45833.945278298612</v>
      </c>
      <c r="P5" s="2">
        <v>45833.946098506945</v>
      </c>
      <c r="Q5" s="1" t="s">
        <v>19</v>
      </c>
      <c r="R5" s="1" t="s">
        <v>24</v>
      </c>
      <c r="T5">
        <f t="shared" si="0"/>
        <v>42.438161202185995</v>
      </c>
    </row>
    <row r="6" spans="1:24" x14ac:dyDescent="0.3">
      <c r="A6">
        <v>5</v>
      </c>
      <c r="B6">
        <v>2</v>
      </c>
      <c r="C6">
        <v>1750891272.37954</v>
      </c>
      <c r="D6">
        <v>1750891438.90187</v>
      </c>
      <c r="E6">
        <v>166.52233700137501</v>
      </c>
      <c r="F6">
        <v>1750891387</v>
      </c>
      <c r="G6">
        <v>1750891500</v>
      </c>
      <c r="H6">
        <v>112.85299999999999</v>
      </c>
      <c r="I6">
        <v>53.669337001375297</v>
      </c>
      <c r="J6">
        <v>53.669337001375297</v>
      </c>
      <c r="K6">
        <v>38.420955534175199</v>
      </c>
      <c r="L6">
        <v>-61.0981218814849</v>
      </c>
      <c r="M6">
        <v>61.0981218814849</v>
      </c>
      <c r="N6" s="3">
        <v>3.48954363805568E-6</v>
      </c>
      <c r="O6" s="2">
        <v>45833.945282175926</v>
      </c>
      <c r="P6" s="2">
        <v>45833.947209513892</v>
      </c>
      <c r="Q6" s="1" t="s">
        <v>21</v>
      </c>
      <c r="R6" s="1" t="s">
        <v>25</v>
      </c>
      <c r="T6">
        <f t="shared" si="0"/>
        <v>-53.669337001375013</v>
      </c>
    </row>
    <row r="7" spans="1:24" x14ac:dyDescent="0.3">
      <c r="A7">
        <v>6</v>
      </c>
      <c r="B7">
        <v>3</v>
      </c>
      <c r="C7">
        <v>1750891340.4960699</v>
      </c>
      <c r="D7">
        <v>1750891506.94468</v>
      </c>
      <c r="E7">
        <v>166.44861538461501</v>
      </c>
      <c r="F7">
        <v>1750891444</v>
      </c>
      <c r="G7">
        <v>1750891583</v>
      </c>
      <c r="H7">
        <v>138.92400000000001</v>
      </c>
      <c r="I7">
        <v>27.5246153846151</v>
      </c>
      <c r="J7">
        <v>27.5246153846151</v>
      </c>
      <c r="K7">
        <v>18.026904835555101</v>
      </c>
      <c r="L7">
        <v>-76.055311679840003</v>
      </c>
      <c r="M7">
        <v>76.055311679840003</v>
      </c>
      <c r="N7" s="3">
        <v>4.3438048403529904E-6</v>
      </c>
      <c r="O7" s="2">
        <v>45833.946070555554</v>
      </c>
      <c r="P7" s="2">
        <v>45833.947997048614</v>
      </c>
      <c r="Q7" s="1" t="s">
        <v>26</v>
      </c>
      <c r="R7" s="1" t="s">
        <v>27</v>
      </c>
      <c r="T7">
        <f t="shared" si="0"/>
        <v>-27.524615384615004</v>
      </c>
    </row>
    <row r="8" spans="1:24" x14ac:dyDescent="0.3">
      <c r="A8">
        <v>7</v>
      </c>
      <c r="B8">
        <v>1</v>
      </c>
      <c r="C8">
        <v>1750891342.91082</v>
      </c>
      <c r="D8">
        <v>1750891509.3216801</v>
      </c>
      <c r="E8">
        <v>166.410858710562</v>
      </c>
      <c r="F8">
        <v>1750891477</v>
      </c>
      <c r="G8">
        <v>1750891630</v>
      </c>
      <c r="H8">
        <v>152.80000000000001</v>
      </c>
      <c r="I8">
        <v>13.6108587105622</v>
      </c>
      <c r="J8">
        <v>13.6108587105622</v>
      </c>
      <c r="K8">
        <v>8.52781685782411</v>
      </c>
      <c r="L8">
        <v>-120.678319215774</v>
      </c>
      <c r="M8">
        <v>120.678319215774</v>
      </c>
      <c r="N8" s="3">
        <v>6.8923924991626196E-6</v>
      </c>
      <c r="O8" s="2">
        <v>45833.946098506945</v>
      </c>
      <c r="P8" s="2">
        <v>45833.948024560188</v>
      </c>
      <c r="Q8" s="1" t="s">
        <v>23</v>
      </c>
      <c r="R8" s="1" t="s">
        <v>28</v>
      </c>
      <c r="T8">
        <f t="shared" si="0"/>
        <v>-13.610858710561985</v>
      </c>
    </row>
    <row r="9" spans="1:24" x14ac:dyDescent="0.3">
      <c r="A9">
        <v>8</v>
      </c>
      <c r="B9">
        <v>2</v>
      </c>
      <c r="C9">
        <v>1750891438.90187</v>
      </c>
      <c r="D9">
        <v>1750891605.29409</v>
      </c>
      <c r="E9">
        <v>166.39221369862901</v>
      </c>
      <c r="F9">
        <v>1750891487</v>
      </c>
      <c r="G9">
        <v>1750891612</v>
      </c>
      <c r="H9">
        <v>125.274</v>
      </c>
      <c r="I9">
        <v>41.118213698629901</v>
      </c>
      <c r="J9">
        <v>41.118213698629901</v>
      </c>
      <c r="K9">
        <v>28.195390324582501</v>
      </c>
      <c r="L9">
        <v>-6.7059082984924299</v>
      </c>
      <c r="M9">
        <v>6.7059082984924299</v>
      </c>
      <c r="N9" s="3">
        <v>3.8299962518377898E-7</v>
      </c>
      <c r="O9" s="2">
        <v>45833.947209513892</v>
      </c>
      <c r="P9" s="2">
        <v>45833.949135347226</v>
      </c>
      <c r="Q9" s="1" t="s">
        <v>24</v>
      </c>
      <c r="R9" s="1" t="s">
        <v>29</v>
      </c>
      <c r="T9">
        <f t="shared" si="0"/>
        <v>-41.118213698629006</v>
      </c>
    </row>
    <row r="10" spans="1:24" x14ac:dyDescent="0.3">
      <c r="A10">
        <v>9</v>
      </c>
      <c r="B10">
        <v>3</v>
      </c>
      <c r="C10">
        <v>1750891506.94468</v>
      </c>
      <c r="D10">
        <v>1750891673.2806499</v>
      </c>
      <c r="E10">
        <v>166.33596443228399</v>
      </c>
      <c r="F10">
        <v>1750891500</v>
      </c>
      <c r="G10">
        <v>1750891623</v>
      </c>
      <c r="H10">
        <v>122.907</v>
      </c>
      <c r="I10">
        <v>43.428964432284303</v>
      </c>
      <c r="J10">
        <v>43.428964432284303</v>
      </c>
      <c r="K10">
        <v>30.029400727188001</v>
      </c>
      <c r="L10">
        <v>50.280652761459301</v>
      </c>
      <c r="M10">
        <v>50.280652761459301</v>
      </c>
      <c r="N10" s="3">
        <v>2.87171698002351E-6</v>
      </c>
      <c r="O10" s="2">
        <v>45833.947997048614</v>
      </c>
      <c r="P10" s="2">
        <v>45833.949922233798</v>
      </c>
      <c r="Q10" s="1" t="s">
        <v>25</v>
      </c>
      <c r="R10" s="1" t="s">
        <v>30</v>
      </c>
      <c r="T10">
        <f t="shared" si="0"/>
        <v>-43.428964432283991</v>
      </c>
    </row>
    <row r="11" spans="1:24" x14ac:dyDescent="0.3">
      <c r="A11">
        <v>10</v>
      </c>
      <c r="B11">
        <v>1</v>
      </c>
      <c r="C11">
        <v>1750891509.3216801</v>
      </c>
      <c r="D11">
        <v>1750891675.59831</v>
      </c>
      <c r="E11">
        <v>166.27663524590099</v>
      </c>
      <c r="F11">
        <v>1750891583</v>
      </c>
      <c r="G11">
        <v>1750891698</v>
      </c>
      <c r="H11">
        <v>114.66200000000001</v>
      </c>
      <c r="I11">
        <v>51.614635245901397</v>
      </c>
      <c r="J11">
        <v>51.614635245901397</v>
      </c>
      <c r="K11">
        <v>36.744419435741797</v>
      </c>
      <c r="L11">
        <v>-22.401684045791601</v>
      </c>
      <c r="M11">
        <v>22.401684045791601</v>
      </c>
      <c r="N11" s="3">
        <v>1.2794443091305399E-6</v>
      </c>
      <c r="O11" s="2">
        <v>45833.948024560188</v>
      </c>
      <c r="P11" s="2">
        <v>45833.949949050926</v>
      </c>
      <c r="Q11" s="1" t="s">
        <v>27</v>
      </c>
      <c r="R11" s="1" t="s">
        <v>31</v>
      </c>
      <c r="T11">
        <f t="shared" si="0"/>
        <v>-51.614635245900985</v>
      </c>
    </row>
    <row r="12" spans="1:24" x14ac:dyDescent="0.3">
      <c r="A12">
        <v>11</v>
      </c>
      <c r="B12">
        <v>2</v>
      </c>
      <c r="C12">
        <v>1750891605.29409</v>
      </c>
      <c r="D12">
        <v>1750891771.5003099</v>
      </c>
      <c r="E12">
        <v>166.206219645293</v>
      </c>
      <c r="F12">
        <v>1750891612</v>
      </c>
      <c r="G12">
        <v>1750891803</v>
      </c>
      <c r="H12">
        <v>190.374</v>
      </c>
      <c r="I12">
        <v>-24.1677803547068</v>
      </c>
      <c r="J12">
        <v>24.1677803547068</v>
      </c>
      <c r="K12">
        <v>13.5553118334761</v>
      </c>
      <c r="L12">
        <v>-31.499688625335601</v>
      </c>
      <c r="M12">
        <v>31.499688625335601</v>
      </c>
      <c r="N12" s="3">
        <v>1.7990654165330899E-6</v>
      </c>
      <c r="O12" s="2">
        <v>45833.949135347226</v>
      </c>
      <c r="P12" s="2">
        <v>45833.951059027779</v>
      </c>
      <c r="Q12" s="1" t="s">
        <v>29</v>
      </c>
      <c r="R12" s="1" t="s">
        <v>32</v>
      </c>
      <c r="T12">
        <f t="shared" si="0"/>
        <v>24.167780354706991</v>
      </c>
    </row>
    <row r="13" spans="1:24" x14ac:dyDescent="0.3">
      <c r="A13">
        <v>12</v>
      </c>
      <c r="B13">
        <v>3</v>
      </c>
      <c r="C13">
        <v>1750891673.2806499</v>
      </c>
      <c r="D13">
        <v>1750891839.5197899</v>
      </c>
      <c r="E13">
        <v>166.239145776566</v>
      </c>
      <c r="F13">
        <v>1750891623</v>
      </c>
      <c r="G13">
        <v>1750891774</v>
      </c>
      <c r="H13">
        <v>150.74700000000001</v>
      </c>
      <c r="I13">
        <v>15.492145776566501</v>
      </c>
      <c r="J13">
        <v>15.492145776566501</v>
      </c>
      <c r="K13">
        <v>9.77465165779609</v>
      </c>
      <c r="L13">
        <v>65.519798517227102</v>
      </c>
      <c r="M13">
        <v>65.519798517227102</v>
      </c>
      <c r="N13" s="3">
        <v>3.7420815075075498E-6</v>
      </c>
      <c r="O13" s="2">
        <v>45833.949922233798</v>
      </c>
      <c r="P13" s="2">
        <v>45833.951846296295</v>
      </c>
      <c r="Q13" s="1" t="s">
        <v>30</v>
      </c>
      <c r="R13" s="1" t="s">
        <v>33</v>
      </c>
      <c r="T13">
        <f t="shared" si="0"/>
        <v>-15.492145776565991</v>
      </c>
    </row>
    <row r="14" spans="1:24" x14ac:dyDescent="0.3">
      <c r="A14">
        <v>13</v>
      </c>
      <c r="B14">
        <v>1</v>
      </c>
      <c r="C14">
        <v>1750891675.59831</v>
      </c>
      <c r="D14">
        <v>1750891841.81638</v>
      </c>
      <c r="E14">
        <v>166.21806802720999</v>
      </c>
      <c r="F14">
        <v>1750891630</v>
      </c>
      <c r="G14">
        <v>1750891758</v>
      </c>
      <c r="H14">
        <v>127.88500000000001</v>
      </c>
      <c r="I14">
        <v>38.3330680272107</v>
      </c>
      <c r="J14">
        <v>38.3330680272107</v>
      </c>
      <c r="K14">
        <v>26.067778404585699</v>
      </c>
      <c r="L14">
        <v>83.816384077072101</v>
      </c>
      <c r="M14">
        <v>83.816384077072101</v>
      </c>
      <c r="N14" s="3">
        <v>4.7870681718577303E-6</v>
      </c>
      <c r="O14" s="2">
        <v>45833.949949050926</v>
      </c>
      <c r="P14" s="2">
        <v>45833.95187287037</v>
      </c>
      <c r="Q14" s="1" t="s">
        <v>28</v>
      </c>
      <c r="R14" s="1" t="s">
        <v>34</v>
      </c>
      <c r="T14">
        <f t="shared" si="0"/>
        <v>-38.33306802720999</v>
      </c>
    </row>
    <row r="15" spans="1:24" x14ac:dyDescent="0.3">
      <c r="A15">
        <v>14</v>
      </c>
      <c r="B15">
        <v>2</v>
      </c>
      <c r="C15">
        <v>1750891771.5003099</v>
      </c>
      <c r="D15">
        <v>1750891870.1269701</v>
      </c>
      <c r="E15">
        <v>98.626667763157897</v>
      </c>
      <c r="F15">
        <v>1750891697</v>
      </c>
      <c r="G15">
        <v>1750891813</v>
      </c>
      <c r="H15">
        <v>115.44499999999999</v>
      </c>
      <c r="I15">
        <v>-16.818332236842</v>
      </c>
      <c r="J15">
        <v>16.818332236842</v>
      </c>
      <c r="K15">
        <v>15.7128053539988</v>
      </c>
      <c r="L15">
        <v>57.126979112625101</v>
      </c>
      <c r="M15">
        <v>57.126979112625101</v>
      </c>
      <c r="N15" s="3">
        <v>3.2627360386585899E-6</v>
      </c>
      <c r="O15" s="2">
        <v>45833.951059027779</v>
      </c>
      <c r="P15" s="2">
        <v>45833.952200543979</v>
      </c>
      <c r="Q15" s="1" t="s">
        <v>35</v>
      </c>
      <c r="R15" s="1" t="s">
        <v>36</v>
      </c>
      <c r="T15">
        <f t="shared" si="0"/>
        <v>16.818332236842096</v>
      </c>
    </row>
    <row r="16" spans="1:24" x14ac:dyDescent="0.3">
      <c r="A16">
        <v>15</v>
      </c>
      <c r="B16">
        <v>3</v>
      </c>
      <c r="C16">
        <v>1750891839.5197899</v>
      </c>
      <c r="D16">
        <v>1750892005.68578</v>
      </c>
      <c r="E16">
        <v>166.165985054347</v>
      </c>
      <c r="F16">
        <v>1750891758</v>
      </c>
      <c r="G16">
        <v>1750891873</v>
      </c>
      <c r="H16">
        <v>114.806</v>
      </c>
      <c r="I16">
        <v>51.359985054347597</v>
      </c>
      <c r="J16">
        <v>51.359985054347597</v>
      </c>
      <c r="K16">
        <v>36.558794318524797</v>
      </c>
      <c r="L16">
        <v>132.68578362464899</v>
      </c>
      <c r="M16">
        <v>132.68578362464899</v>
      </c>
      <c r="N16" s="3">
        <v>7.5781823334252096E-6</v>
      </c>
      <c r="O16" s="2">
        <v>45833.951846296295</v>
      </c>
      <c r="P16" s="2">
        <v>45833.953769513886</v>
      </c>
      <c r="Q16" s="1" t="s">
        <v>34</v>
      </c>
      <c r="R16" s="1" t="s">
        <v>37</v>
      </c>
      <c r="T16">
        <f t="shared" si="0"/>
        <v>-51.359985054347007</v>
      </c>
    </row>
    <row r="17" spans="1:20" x14ac:dyDescent="0.3">
      <c r="A17">
        <v>16</v>
      </c>
      <c r="B17">
        <v>1</v>
      </c>
      <c r="C17">
        <v>1750891841.81638</v>
      </c>
      <c r="D17">
        <v>1750892007.9126799</v>
      </c>
      <c r="E17">
        <v>166.09629715061001</v>
      </c>
      <c r="F17">
        <v>1750891774</v>
      </c>
      <c r="G17">
        <v>1750891891</v>
      </c>
      <c r="H17">
        <v>117.584</v>
      </c>
      <c r="I17">
        <v>48.512297150610401</v>
      </c>
      <c r="J17">
        <v>48.512297150610401</v>
      </c>
      <c r="K17">
        <v>34.202091324554999</v>
      </c>
      <c r="L17">
        <v>116.91268134117099</v>
      </c>
      <c r="M17">
        <v>116.91268134117099</v>
      </c>
      <c r="N17" s="3">
        <v>6.67732131485744E-6</v>
      </c>
      <c r="O17" s="2">
        <v>45833.95187287037</v>
      </c>
      <c r="P17" s="2">
        <v>45833.953795289352</v>
      </c>
      <c r="Q17" s="1" t="s">
        <v>33</v>
      </c>
      <c r="R17" s="1" t="s">
        <v>38</v>
      </c>
      <c r="T17">
        <f t="shared" si="0"/>
        <v>-48.51229715061001</v>
      </c>
    </row>
    <row r="18" spans="1:20" x14ac:dyDescent="0.3">
      <c r="A18">
        <v>17</v>
      </c>
      <c r="B18">
        <v>2</v>
      </c>
      <c r="C18">
        <v>1750891870.1269701</v>
      </c>
      <c r="D18">
        <v>1750892036.1575401</v>
      </c>
      <c r="E18">
        <v>166.03056233062301</v>
      </c>
      <c r="F18">
        <v>1750891803</v>
      </c>
      <c r="G18">
        <v>1750891952</v>
      </c>
      <c r="H18">
        <v>149.54</v>
      </c>
      <c r="I18">
        <v>16.490562330623099</v>
      </c>
      <c r="J18">
        <v>16.490562330623099</v>
      </c>
      <c r="K18">
        <v>10.4512678298211</v>
      </c>
      <c r="L18">
        <v>84.157541513442993</v>
      </c>
      <c r="M18">
        <v>84.157541513442993</v>
      </c>
      <c r="N18" s="3">
        <v>4.8065524200264703E-6</v>
      </c>
      <c r="O18" s="2">
        <v>45833.952200543979</v>
      </c>
      <c r="P18" s="2">
        <v>45833.954122199073</v>
      </c>
      <c r="Q18" s="1" t="s">
        <v>32</v>
      </c>
      <c r="R18" s="1" t="s">
        <v>39</v>
      </c>
      <c r="T18">
        <f t="shared" si="0"/>
        <v>-16.490562330623021</v>
      </c>
    </row>
    <row r="19" spans="1:20" x14ac:dyDescent="0.3">
      <c r="A19">
        <v>18</v>
      </c>
      <c r="B19">
        <v>3</v>
      </c>
      <c r="C19">
        <v>1750892005.68578</v>
      </c>
      <c r="D19">
        <v>1750892037.72068</v>
      </c>
      <c r="E19">
        <v>32.034903536977502</v>
      </c>
      <c r="F19">
        <v>1750891813</v>
      </c>
      <c r="G19">
        <v>1750891868</v>
      </c>
      <c r="H19">
        <v>54.648000000000003</v>
      </c>
      <c r="I19">
        <v>-22.613096463022401</v>
      </c>
      <c r="J19">
        <v>22.613096463022401</v>
      </c>
      <c r="K19">
        <v>52.174293984917298</v>
      </c>
      <c r="L19">
        <v>169.720687150955</v>
      </c>
      <c r="M19">
        <v>169.720687150955</v>
      </c>
      <c r="N19" s="3">
        <v>9.6933843846669693E-6</v>
      </c>
      <c r="O19" s="2">
        <v>45833.953769513886</v>
      </c>
      <c r="P19" s="2">
        <v>45833.954140289352</v>
      </c>
      <c r="Q19" s="1" t="s">
        <v>36</v>
      </c>
      <c r="R19" s="1" t="s">
        <v>40</v>
      </c>
      <c r="T19">
        <f t="shared" si="0"/>
        <v>22.613096463022501</v>
      </c>
    </row>
    <row r="20" spans="1:20" x14ac:dyDescent="0.3">
      <c r="A20">
        <v>19</v>
      </c>
      <c r="B20">
        <v>1</v>
      </c>
      <c r="C20">
        <v>1750892007.9126799</v>
      </c>
      <c r="D20">
        <v>1750892046.9115701</v>
      </c>
      <c r="E20">
        <v>38.998892183288397</v>
      </c>
      <c r="F20">
        <v>1750891868</v>
      </c>
      <c r="G20">
        <v>1750891962</v>
      </c>
      <c r="H20">
        <v>93.855999999999995</v>
      </c>
      <c r="I20">
        <v>-54.857107816711498</v>
      </c>
      <c r="J20">
        <v>54.857107816711498</v>
      </c>
      <c r="K20">
        <v>82.581991397094995</v>
      </c>
      <c r="L20">
        <v>84.911573410034094</v>
      </c>
      <c r="M20">
        <v>84.911573410034094</v>
      </c>
      <c r="N20" s="3">
        <v>4.8496179772336299E-6</v>
      </c>
      <c r="O20" s="2">
        <v>45833.953795289352</v>
      </c>
      <c r="P20" s="2">
        <v>45833.954246666668</v>
      </c>
      <c r="Q20" s="1" t="s">
        <v>40</v>
      </c>
      <c r="R20" s="1" t="s">
        <v>41</v>
      </c>
      <c r="T20">
        <f t="shared" si="0"/>
        <v>54.857107816711597</v>
      </c>
    </row>
    <row r="21" spans="1:20" x14ac:dyDescent="0.3">
      <c r="A21">
        <v>20</v>
      </c>
      <c r="B21">
        <v>2</v>
      </c>
      <c r="C21">
        <v>1750892036.1575401</v>
      </c>
      <c r="D21">
        <v>1750892080.60659</v>
      </c>
      <c r="E21">
        <v>44.449053471668002</v>
      </c>
      <c r="F21">
        <v>1750891873</v>
      </c>
      <c r="G21">
        <v>1750891969</v>
      </c>
      <c r="H21">
        <v>96.444999999999993</v>
      </c>
      <c r="I21">
        <v>-51.995946528331899</v>
      </c>
      <c r="J21">
        <v>51.995946528331899</v>
      </c>
      <c r="K21">
        <v>73.808574949953694</v>
      </c>
      <c r="L21">
        <v>111.60659503936699</v>
      </c>
      <c r="M21">
        <v>111.60659503936699</v>
      </c>
      <c r="N21" s="3">
        <v>6.3742705694205201E-6</v>
      </c>
      <c r="O21" s="2">
        <v>45833.954122199073</v>
      </c>
      <c r="P21" s="2">
        <v>45833.954636655093</v>
      </c>
      <c r="Q21" s="1" t="s">
        <v>37</v>
      </c>
      <c r="R21" s="1" t="s">
        <v>42</v>
      </c>
      <c r="T21">
        <f t="shared" si="0"/>
        <v>51.995946528331991</v>
      </c>
    </row>
    <row r="22" spans="1:20" x14ac:dyDescent="0.3">
      <c r="A22">
        <v>21</v>
      </c>
      <c r="B22">
        <v>3</v>
      </c>
      <c r="C22">
        <v>1750892037.72068</v>
      </c>
      <c r="D22">
        <v>1750892122.73592</v>
      </c>
      <c r="E22">
        <v>85.015240384615396</v>
      </c>
      <c r="F22">
        <v>1750891891</v>
      </c>
      <c r="G22">
        <v>1750891975</v>
      </c>
      <c r="H22">
        <v>84.043999999999997</v>
      </c>
      <c r="I22">
        <v>0.97124038461539897</v>
      </c>
      <c r="J22">
        <v>0.97124038461539897</v>
      </c>
      <c r="K22">
        <v>1.14899414241516</v>
      </c>
      <c r="L22">
        <v>147.735927581787</v>
      </c>
      <c r="M22">
        <v>147.735927581787</v>
      </c>
      <c r="N22" s="3">
        <v>8.4377519263569306E-6</v>
      </c>
      <c r="O22" s="2">
        <v>45833.954140289352</v>
      </c>
      <c r="P22" s="2">
        <v>45833.955124259257</v>
      </c>
      <c r="Q22" s="1" t="s">
        <v>38</v>
      </c>
      <c r="R22" s="1" t="s">
        <v>43</v>
      </c>
      <c r="T22">
        <f t="shared" si="0"/>
        <v>-0.97124038461539897</v>
      </c>
    </row>
    <row r="23" spans="1:20" x14ac:dyDescent="0.3">
      <c r="A23">
        <v>22</v>
      </c>
      <c r="B23">
        <v>1</v>
      </c>
      <c r="C23">
        <v>1750892046.9115701</v>
      </c>
      <c r="D23">
        <v>1750892131.9175601</v>
      </c>
      <c r="E23">
        <v>85.005990476190405</v>
      </c>
      <c r="F23">
        <v>1750891952</v>
      </c>
      <c r="G23">
        <v>1750892018</v>
      </c>
      <c r="H23">
        <v>66.41</v>
      </c>
      <c r="I23">
        <v>18.595990476190401</v>
      </c>
      <c r="J23">
        <v>18.595990476190401</v>
      </c>
      <c r="K23">
        <v>24.562782857619801</v>
      </c>
      <c r="L23">
        <v>113.917563915252</v>
      </c>
      <c r="M23">
        <v>113.917563915252</v>
      </c>
      <c r="N23" s="3">
        <v>6.5062584692968197E-6</v>
      </c>
      <c r="O23" s="2">
        <v>45833.954246666668</v>
      </c>
      <c r="P23" s="2">
        <v>45833.95523053241</v>
      </c>
      <c r="Q23" s="1" t="s">
        <v>39</v>
      </c>
      <c r="R23" s="1" t="s">
        <v>44</v>
      </c>
      <c r="T23">
        <f t="shared" si="0"/>
        <v>-18.595990476190408</v>
      </c>
    </row>
    <row r="24" spans="1:20" x14ac:dyDescent="0.3">
      <c r="A24">
        <v>23</v>
      </c>
      <c r="B24">
        <v>2</v>
      </c>
      <c r="C24">
        <v>1750892080.60659</v>
      </c>
      <c r="D24">
        <v>1750892125.09711</v>
      </c>
      <c r="E24">
        <v>44.490517543859603</v>
      </c>
      <c r="F24">
        <v>1750891962</v>
      </c>
      <c r="G24">
        <v>1750892044</v>
      </c>
      <c r="H24">
        <v>82.018000000000001</v>
      </c>
      <c r="I24">
        <v>-37.527482456140298</v>
      </c>
      <c r="J24">
        <v>37.527482456140298</v>
      </c>
      <c r="K24">
        <v>59.327993378990897</v>
      </c>
      <c r="L24">
        <v>81.097112655639606</v>
      </c>
      <c r="M24">
        <v>81.097112655639606</v>
      </c>
      <c r="N24" s="3">
        <v>4.6317596253540299E-6</v>
      </c>
      <c r="O24" s="2">
        <v>45833.954636655093</v>
      </c>
      <c r="P24" s="2">
        <v>45833.955151585651</v>
      </c>
      <c r="Q24" s="1" t="s">
        <v>41</v>
      </c>
      <c r="R24" s="1" t="s">
        <v>45</v>
      </c>
      <c r="T24">
        <f t="shared" si="0"/>
        <v>37.527482456140397</v>
      </c>
    </row>
    <row r="25" spans="1:20" x14ac:dyDescent="0.3">
      <c r="A25">
        <v>24</v>
      </c>
      <c r="B25">
        <v>3</v>
      </c>
      <c r="C25">
        <v>1750892122.73592</v>
      </c>
      <c r="D25">
        <v>1750892207.5664799</v>
      </c>
      <c r="E25">
        <v>84.830556603773601</v>
      </c>
      <c r="F25">
        <v>1750891969</v>
      </c>
      <c r="G25">
        <v>1750892043</v>
      </c>
      <c r="H25">
        <v>73.405000000000001</v>
      </c>
      <c r="I25">
        <v>11.4255566037736</v>
      </c>
      <c r="J25">
        <v>11.4255566037736</v>
      </c>
      <c r="K25">
        <v>14.441200004602599</v>
      </c>
      <c r="L25">
        <v>164.566484212875</v>
      </c>
      <c r="M25">
        <v>164.566484212875</v>
      </c>
      <c r="N25" s="3">
        <v>9.39900761654596E-6</v>
      </c>
      <c r="O25" s="2">
        <v>45833.955124259257</v>
      </c>
      <c r="P25" s="2">
        <v>45833.956106087964</v>
      </c>
      <c r="Q25" s="1" t="s">
        <v>42</v>
      </c>
      <c r="R25" s="1" t="s">
        <v>46</v>
      </c>
      <c r="T25">
        <f t="shared" si="0"/>
        <v>-11.4255566037736</v>
      </c>
    </row>
    <row r="26" spans="1:20" x14ac:dyDescent="0.3">
      <c r="A26">
        <v>25</v>
      </c>
      <c r="B26">
        <v>2</v>
      </c>
      <c r="C26">
        <v>1750892125.09711</v>
      </c>
      <c r="D26">
        <v>1750892164.24347</v>
      </c>
      <c r="E26">
        <v>39.146357526881701</v>
      </c>
      <c r="F26">
        <v>1750891975</v>
      </c>
      <c r="G26">
        <v>1750892081</v>
      </c>
      <c r="H26">
        <v>105.526</v>
      </c>
      <c r="I26">
        <v>-66.379642473118196</v>
      </c>
      <c r="J26">
        <v>66.379642473118196</v>
      </c>
      <c r="K26">
        <v>91.765481129709499</v>
      </c>
      <c r="L26">
        <v>83.243470191955495</v>
      </c>
      <c r="M26">
        <v>83.243470191955495</v>
      </c>
      <c r="N26" s="3">
        <v>4.75434603402688E-6</v>
      </c>
      <c r="O26" s="2">
        <v>45833.955151585651</v>
      </c>
      <c r="P26" s="2">
        <v>45833.955604664348</v>
      </c>
      <c r="Q26" s="1" t="s">
        <v>43</v>
      </c>
      <c r="R26" s="1" t="s">
        <v>47</v>
      </c>
      <c r="T26">
        <f t="shared" si="0"/>
        <v>66.379642473118295</v>
      </c>
    </row>
    <row r="27" spans="1:20" x14ac:dyDescent="0.3">
      <c r="A27">
        <v>26</v>
      </c>
      <c r="B27">
        <v>1</v>
      </c>
      <c r="C27">
        <v>1750892131.9175601</v>
      </c>
      <c r="D27">
        <v>1750892163.98876</v>
      </c>
      <c r="E27">
        <v>32.071200642054599</v>
      </c>
      <c r="F27">
        <v>1750892018</v>
      </c>
      <c r="G27">
        <v>1750892063</v>
      </c>
      <c r="H27">
        <v>45.079000000000001</v>
      </c>
      <c r="I27">
        <v>-13.0077993579453</v>
      </c>
      <c r="J27">
        <v>13.0077993579453</v>
      </c>
      <c r="K27">
        <v>33.7207142682525</v>
      </c>
      <c r="L27">
        <v>100.988764524459</v>
      </c>
      <c r="M27">
        <v>100.988764524459</v>
      </c>
      <c r="N27" s="3">
        <v>5.7678462165729399E-6</v>
      </c>
      <c r="O27" s="2">
        <v>45833.95523053241</v>
      </c>
      <c r="P27" s="2">
        <v>45833.955601724534</v>
      </c>
      <c r="Q27" s="1" t="s">
        <v>44</v>
      </c>
      <c r="R27" s="1" t="s">
        <v>48</v>
      </c>
      <c r="T27">
        <f t="shared" si="0"/>
        <v>13.007799357945402</v>
      </c>
    </row>
    <row r="28" spans="1:20" x14ac:dyDescent="0.3">
      <c r="A28">
        <v>27</v>
      </c>
      <c r="B28">
        <v>1</v>
      </c>
      <c r="C28">
        <v>1750892163.98876</v>
      </c>
      <c r="D28">
        <v>1750892196.0808101</v>
      </c>
      <c r="E28">
        <v>32.092046474359002</v>
      </c>
      <c r="F28">
        <v>1750892043</v>
      </c>
      <c r="G28">
        <v>1750892086</v>
      </c>
      <c r="H28">
        <v>43.198999999999998</v>
      </c>
      <c r="I28">
        <v>-11.1069535256409</v>
      </c>
      <c r="J28">
        <v>11.1069535256409</v>
      </c>
      <c r="K28">
        <v>29.504048743494401</v>
      </c>
      <c r="L28">
        <v>110.080811023712</v>
      </c>
      <c r="M28">
        <v>110.080811023712</v>
      </c>
      <c r="N28" s="3">
        <v>6.28712691338602E-6</v>
      </c>
      <c r="O28" s="2">
        <v>45833.955601724534</v>
      </c>
      <c r="P28" s="2">
        <v>45833.955973159726</v>
      </c>
      <c r="Q28" s="1" t="s">
        <v>46</v>
      </c>
      <c r="R28" s="1" t="s">
        <v>49</v>
      </c>
      <c r="T28">
        <f t="shared" si="0"/>
        <v>11.106953525640996</v>
      </c>
    </row>
    <row r="29" spans="1:20" x14ac:dyDescent="0.3">
      <c r="A29">
        <v>28</v>
      </c>
      <c r="B29">
        <v>2</v>
      </c>
      <c r="C29">
        <v>1750892164.24347</v>
      </c>
      <c r="D29">
        <v>1750892248.9672401</v>
      </c>
      <c r="E29">
        <v>84.723775700934596</v>
      </c>
      <c r="F29">
        <v>1750892044</v>
      </c>
      <c r="G29">
        <v>1750892132</v>
      </c>
      <c r="H29">
        <v>87.566999999999993</v>
      </c>
      <c r="I29">
        <v>-2.84322429906539</v>
      </c>
      <c r="J29">
        <v>2.84322429906539</v>
      </c>
      <c r="K29">
        <v>3.3004950932494599</v>
      </c>
      <c r="L29">
        <v>116.96724581718399</v>
      </c>
      <c r="M29">
        <v>116.96724581718399</v>
      </c>
      <c r="N29" s="3">
        <v>6.6804367769140697E-6</v>
      </c>
      <c r="O29" s="2">
        <v>45833.955604664348</v>
      </c>
      <c r="P29" s="2">
        <v>45833.956585266205</v>
      </c>
      <c r="Q29" s="1" t="s">
        <v>45</v>
      </c>
      <c r="R29" s="1" t="s">
        <v>50</v>
      </c>
      <c r="T29">
        <f t="shared" si="0"/>
        <v>2.8432242990653975</v>
      </c>
    </row>
    <row r="30" spans="1:20" x14ac:dyDescent="0.3">
      <c r="A30">
        <v>29</v>
      </c>
      <c r="B30">
        <v>1</v>
      </c>
      <c r="C30">
        <v>1750892196.0808101</v>
      </c>
      <c r="D30">
        <v>1750892245.7181499</v>
      </c>
      <c r="E30">
        <v>49.637342398884101</v>
      </c>
      <c r="F30">
        <v>1750892063</v>
      </c>
      <c r="G30">
        <v>1750892127</v>
      </c>
      <c r="H30">
        <v>64.376999999999995</v>
      </c>
      <c r="I30">
        <v>-14.7396576011158</v>
      </c>
      <c r="J30">
        <v>14.7396576011158</v>
      </c>
      <c r="K30">
        <v>25.8557954920241</v>
      </c>
      <c r="L30">
        <v>118.718153476715</v>
      </c>
      <c r="M30">
        <v>118.718153476715</v>
      </c>
      <c r="N30" s="3">
        <v>6.7804376763817503E-6</v>
      </c>
      <c r="O30" s="2">
        <v>45833.955973159726</v>
      </c>
      <c r="P30" s="2">
        <v>45833.956547662034</v>
      </c>
      <c r="Q30" s="1" t="s">
        <v>48</v>
      </c>
      <c r="R30" s="1" t="s">
        <v>51</v>
      </c>
      <c r="T30">
        <f t="shared" si="0"/>
        <v>14.739657601115894</v>
      </c>
    </row>
    <row r="31" spans="1:20" x14ac:dyDescent="0.3">
      <c r="A31">
        <v>30</v>
      </c>
      <c r="B31">
        <v>3</v>
      </c>
      <c r="C31">
        <v>1750892207.5664799</v>
      </c>
      <c r="D31">
        <v>1750892239.6763</v>
      </c>
      <c r="E31">
        <v>32.1098176</v>
      </c>
      <c r="F31">
        <v>1750892081</v>
      </c>
      <c r="G31">
        <v>1750892124</v>
      </c>
      <c r="H31">
        <v>42.926000000000002</v>
      </c>
      <c r="I31">
        <v>-10.816182399999899</v>
      </c>
      <c r="J31">
        <v>10.816182399999899</v>
      </c>
      <c r="K31">
        <v>28.8293850748951</v>
      </c>
      <c r="L31">
        <v>115.67630171775799</v>
      </c>
      <c r="M31">
        <v>115.67630171775799</v>
      </c>
      <c r="N31" s="3">
        <v>6.6067061648717203E-6</v>
      </c>
      <c r="O31" s="2">
        <v>45833.956106087964</v>
      </c>
      <c r="P31" s="2">
        <v>45833.956477731481</v>
      </c>
      <c r="Q31" s="1" t="s">
        <v>47</v>
      </c>
      <c r="R31" s="1" t="s">
        <v>52</v>
      </c>
      <c r="T31">
        <f t="shared" si="0"/>
        <v>10.816182400000002</v>
      </c>
    </row>
    <row r="32" spans="1:20" x14ac:dyDescent="0.3">
      <c r="A32">
        <v>31</v>
      </c>
      <c r="B32">
        <v>3</v>
      </c>
      <c r="C32">
        <v>1750892239.6763</v>
      </c>
      <c r="D32">
        <v>1750892271.80339</v>
      </c>
      <c r="E32">
        <v>32.127095846645403</v>
      </c>
      <c r="F32">
        <v>1750892086</v>
      </c>
      <c r="G32">
        <v>1750892138</v>
      </c>
      <c r="H32">
        <v>52.628</v>
      </c>
      <c r="I32">
        <v>-20.500904153354501</v>
      </c>
      <c r="J32">
        <v>20.500904153354501</v>
      </c>
      <c r="K32">
        <v>48.376806016357101</v>
      </c>
      <c r="L32">
        <v>133.803397655487</v>
      </c>
      <c r="M32">
        <v>133.803397655487</v>
      </c>
      <c r="N32" s="3">
        <v>7.6420122998376797E-6</v>
      </c>
      <c r="O32" s="2">
        <v>45833.956477731481</v>
      </c>
      <c r="P32" s="2">
        <v>45833.956849571761</v>
      </c>
      <c r="Q32" s="1" t="s">
        <v>49</v>
      </c>
      <c r="R32" s="1" t="s">
        <v>53</v>
      </c>
      <c r="T32">
        <f t="shared" si="0"/>
        <v>20.500904153354597</v>
      </c>
    </row>
    <row r="33" spans="1:20" x14ac:dyDescent="0.3">
      <c r="A33">
        <v>32</v>
      </c>
      <c r="B33">
        <v>1</v>
      </c>
      <c r="C33">
        <v>1750892245.7181499</v>
      </c>
      <c r="D33">
        <v>1750892316.64188</v>
      </c>
      <c r="E33">
        <v>70.923735334242593</v>
      </c>
      <c r="F33">
        <v>1750892124</v>
      </c>
      <c r="G33">
        <v>1750892192</v>
      </c>
      <c r="H33">
        <v>67.881</v>
      </c>
      <c r="I33">
        <v>3.0427353342426899</v>
      </c>
      <c r="J33">
        <v>3.0427353342426899</v>
      </c>
      <c r="K33">
        <v>4.3841952897583303</v>
      </c>
      <c r="L33">
        <v>124.64188885688699</v>
      </c>
      <c r="M33">
        <v>124.64188885688699</v>
      </c>
      <c r="N33" s="3">
        <v>7.1187640786741703E-6</v>
      </c>
      <c r="O33" s="2">
        <v>45833.956547662034</v>
      </c>
      <c r="P33" s="2">
        <v>45833.957368541669</v>
      </c>
      <c r="Q33" s="1" t="s">
        <v>52</v>
      </c>
      <c r="R33" s="1" t="s">
        <v>54</v>
      </c>
      <c r="T33">
        <f t="shared" si="0"/>
        <v>-3.0427353342425931</v>
      </c>
    </row>
    <row r="34" spans="1:20" x14ac:dyDescent="0.3">
      <c r="A34">
        <v>33</v>
      </c>
      <c r="B34">
        <v>2</v>
      </c>
      <c r="C34">
        <v>1750892248.9672401</v>
      </c>
      <c r="D34">
        <v>1750892319.8868301</v>
      </c>
      <c r="E34">
        <v>70.919589918255895</v>
      </c>
      <c r="F34">
        <v>1750892127</v>
      </c>
      <c r="G34">
        <v>1750892200</v>
      </c>
      <c r="H34">
        <v>72.698999999999998</v>
      </c>
      <c r="I34">
        <v>-1.7794100817440099</v>
      </c>
      <c r="J34">
        <v>1.7794100817440099</v>
      </c>
      <c r="K34">
        <v>2.4779662336983099</v>
      </c>
      <c r="L34">
        <v>119.886835813522</v>
      </c>
      <c r="M34">
        <v>119.886835813522</v>
      </c>
      <c r="N34" s="3">
        <v>6.8471852070096304E-6</v>
      </c>
      <c r="O34" s="2">
        <v>45833.956585266205</v>
      </c>
      <c r="P34" s="2">
        <v>45833.957406099536</v>
      </c>
      <c r="Q34" s="1" t="s">
        <v>51</v>
      </c>
      <c r="R34" s="1" t="s">
        <v>55</v>
      </c>
      <c r="T34">
        <f t="shared" si="0"/>
        <v>1.7794100817441034</v>
      </c>
    </row>
    <row r="35" spans="1:20" x14ac:dyDescent="0.3">
      <c r="A35">
        <v>34</v>
      </c>
      <c r="B35">
        <v>3</v>
      </c>
      <c r="C35">
        <v>1750892271.80339</v>
      </c>
      <c r="D35">
        <v>1750892370.4851999</v>
      </c>
      <c r="E35">
        <v>98.681809836065597</v>
      </c>
      <c r="F35">
        <v>1750892132</v>
      </c>
      <c r="G35">
        <v>1750892203</v>
      </c>
      <c r="H35">
        <v>71.662999999999997</v>
      </c>
      <c r="I35">
        <v>27.0188098360656</v>
      </c>
      <c r="J35">
        <v>27.0188098360656</v>
      </c>
      <c r="K35">
        <v>31.722492586733502</v>
      </c>
      <c r="L35">
        <v>167.485207557678</v>
      </c>
      <c r="M35">
        <v>167.485207557678</v>
      </c>
      <c r="N35" s="3">
        <v>9.5657059446684201E-6</v>
      </c>
      <c r="O35" s="2">
        <v>45833.956849571761</v>
      </c>
      <c r="P35" s="2">
        <v>45833.957991724536</v>
      </c>
      <c r="Q35" s="1" t="s">
        <v>50</v>
      </c>
      <c r="R35" s="1" t="s">
        <v>56</v>
      </c>
      <c r="T35">
        <f t="shared" si="0"/>
        <v>-27.0188098360656</v>
      </c>
    </row>
    <row r="36" spans="1:20" x14ac:dyDescent="0.3">
      <c r="A36">
        <v>35</v>
      </c>
      <c r="B36">
        <v>1</v>
      </c>
      <c r="C36">
        <v>1750892316.64188</v>
      </c>
      <c r="D36">
        <v>1750892415.2354</v>
      </c>
      <c r="E36">
        <v>98.593513071895401</v>
      </c>
      <c r="F36">
        <v>1750892138</v>
      </c>
      <c r="G36">
        <v>1750892206</v>
      </c>
      <c r="H36">
        <v>67.811000000000007</v>
      </c>
      <c r="I36">
        <v>30.782513071895401</v>
      </c>
      <c r="J36">
        <v>30.782513071895401</v>
      </c>
      <c r="K36">
        <v>36.997209394910797</v>
      </c>
      <c r="L36">
        <v>209.23540186881999</v>
      </c>
      <c r="M36">
        <v>209.23540186881999</v>
      </c>
      <c r="N36" s="3">
        <v>1.19502153616177E-5</v>
      </c>
      <c r="O36" s="2">
        <v>45833.957368541669</v>
      </c>
      <c r="P36" s="2">
        <v>45833.95850966435</v>
      </c>
      <c r="Q36" s="1" t="s">
        <v>53</v>
      </c>
      <c r="R36" s="1" t="s">
        <v>57</v>
      </c>
      <c r="T36">
        <f t="shared" si="0"/>
        <v>-30.782513071895394</v>
      </c>
    </row>
    <row r="37" spans="1:20" x14ac:dyDescent="0.3">
      <c r="A37">
        <v>36</v>
      </c>
      <c r="B37">
        <v>2</v>
      </c>
      <c r="C37">
        <v>1750892319.8868301</v>
      </c>
      <c r="D37">
        <v>1750892390.80884</v>
      </c>
      <c r="E37">
        <v>70.922010884353597</v>
      </c>
      <c r="F37">
        <v>1750892192</v>
      </c>
      <c r="G37">
        <v>1750892259</v>
      </c>
      <c r="H37">
        <v>66.587000000000003</v>
      </c>
      <c r="I37">
        <v>4.3350108843535899</v>
      </c>
      <c r="J37">
        <v>4.3350108843535899</v>
      </c>
      <c r="K37">
        <v>6.3050571834879596</v>
      </c>
      <c r="L37">
        <v>131.808846712112</v>
      </c>
      <c r="M37">
        <v>131.808846712112</v>
      </c>
      <c r="N37" s="3">
        <v>7.5280955223392998E-6</v>
      </c>
      <c r="O37" s="2">
        <v>45833.957406099536</v>
      </c>
      <c r="P37" s="2">
        <v>45833.95822695602</v>
      </c>
      <c r="Q37" s="1" t="s">
        <v>54</v>
      </c>
      <c r="R37" s="1" t="s">
        <v>58</v>
      </c>
      <c r="T37">
        <f t="shared" si="0"/>
        <v>-4.3350108843535935</v>
      </c>
    </row>
    <row r="38" spans="1:20" x14ac:dyDescent="0.3">
      <c r="A38">
        <v>37</v>
      </c>
      <c r="B38">
        <v>3</v>
      </c>
      <c r="C38">
        <v>1750892370.4851999</v>
      </c>
      <c r="D38">
        <v>1750892468.9784501</v>
      </c>
      <c r="E38">
        <v>98.493244299674203</v>
      </c>
      <c r="F38">
        <v>1750892200</v>
      </c>
      <c r="G38">
        <v>1750892264</v>
      </c>
      <c r="H38">
        <v>64.265000000000001</v>
      </c>
      <c r="I38">
        <v>34.228244299674202</v>
      </c>
      <c r="J38">
        <v>34.228244299674202</v>
      </c>
      <c r="K38">
        <v>42.060227974261501</v>
      </c>
      <c r="L38">
        <v>204.97845196723901</v>
      </c>
      <c r="M38">
        <v>204.97845196723901</v>
      </c>
      <c r="N38" s="3">
        <v>1.1707084678097499E-5</v>
      </c>
      <c r="O38" s="2">
        <v>45833.957991724536</v>
      </c>
      <c r="P38" s="2">
        <v>45833.959131689815</v>
      </c>
      <c r="Q38" s="1" t="s">
        <v>55</v>
      </c>
      <c r="R38" s="1" t="s">
        <v>59</v>
      </c>
      <c r="T38">
        <f t="shared" si="0"/>
        <v>-34.228244299674202</v>
      </c>
    </row>
    <row r="39" spans="1:20" x14ac:dyDescent="0.3">
      <c r="A39">
        <v>38</v>
      </c>
      <c r="B39">
        <v>2</v>
      </c>
      <c r="C39">
        <v>1750892390.80884</v>
      </c>
      <c r="D39">
        <v>1750892489.1909599</v>
      </c>
      <c r="E39">
        <v>98.382113636363599</v>
      </c>
      <c r="F39">
        <v>1750892203</v>
      </c>
      <c r="G39">
        <v>1750892272</v>
      </c>
      <c r="H39">
        <v>69.64</v>
      </c>
      <c r="I39">
        <v>28.742113636363602</v>
      </c>
      <c r="J39">
        <v>28.742113636363602</v>
      </c>
      <c r="K39">
        <v>34.2122986246534</v>
      </c>
      <c r="L39">
        <v>217.19096040725699</v>
      </c>
      <c r="M39">
        <v>217.19096040725699</v>
      </c>
      <c r="N39" s="3">
        <v>1.2404586530520501E-5</v>
      </c>
      <c r="O39" s="2">
        <v>45833.95822695602</v>
      </c>
      <c r="P39" s="2">
        <v>45833.959365636576</v>
      </c>
      <c r="Q39" s="1" t="s">
        <v>56</v>
      </c>
      <c r="R39" s="1" t="s">
        <v>60</v>
      </c>
      <c r="T39">
        <f t="shared" si="0"/>
        <v>-28.742113636363598</v>
      </c>
    </row>
    <row r="40" spans="1:20" x14ac:dyDescent="0.3">
      <c r="A40">
        <v>39</v>
      </c>
      <c r="B40">
        <v>1</v>
      </c>
      <c r="C40">
        <v>1750892415.2354</v>
      </c>
      <c r="D40">
        <v>1750892513.5244901</v>
      </c>
      <c r="E40">
        <v>98.289097087378593</v>
      </c>
      <c r="F40">
        <v>1750892206</v>
      </c>
      <c r="G40">
        <v>1750892270</v>
      </c>
      <c r="H40">
        <v>64.004000000000005</v>
      </c>
      <c r="I40">
        <v>34.285097087378603</v>
      </c>
      <c r="J40">
        <v>34.285097087378603</v>
      </c>
      <c r="K40">
        <v>42.250838393846799</v>
      </c>
      <c r="L40">
        <v>243.52449893951399</v>
      </c>
      <c r="M40">
        <v>243.52449893951399</v>
      </c>
      <c r="N40" s="3">
        <v>1.3908593131437901E-5</v>
      </c>
      <c r="O40" s="2">
        <v>45833.95850966435</v>
      </c>
      <c r="P40" s="2">
        <v>45833.959647268515</v>
      </c>
      <c r="Q40" s="1" t="s">
        <v>57</v>
      </c>
      <c r="R40" s="1" t="s">
        <v>61</v>
      </c>
      <c r="T40">
        <f t="shared" si="0"/>
        <v>-34.285097087378588</v>
      </c>
    </row>
    <row r="41" spans="1:20" x14ac:dyDescent="0.3">
      <c r="A41">
        <v>40</v>
      </c>
      <c r="B41">
        <v>3</v>
      </c>
      <c r="C41">
        <v>1750892468.9784501</v>
      </c>
      <c r="D41">
        <v>1750892567.15695</v>
      </c>
      <c r="E41">
        <v>98.1785</v>
      </c>
      <c r="F41">
        <v>1750892258</v>
      </c>
      <c r="G41">
        <v>1750892323</v>
      </c>
      <c r="H41">
        <v>65.113</v>
      </c>
      <c r="I41">
        <v>33.0655</v>
      </c>
      <c r="J41">
        <v>33.0655</v>
      </c>
      <c r="K41">
        <v>40.498739983403901</v>
      </c>
      <c r="L41">
        <v>244.15695190429599</v>
      </c>
      <c r="M41">
        <v>244.15695190429599</v>
      </c>
      <c r="N41" s="3">
        <v>1.3944714456367E-5</v>
      </c>
      <c r="O41" s="2">
        <v>45833.959131689815</v>
      </c>
      <c r="P41" s="2">
        <v>45833.960268020834</v>
      </c>
      <c r="Q41" s="1" t="s">
        <v>62</v>
      </c>
      <c r="R41" s="1" t="s">
        <v>63</v>
      </c>
      <c r="T41">
        <f t="shared" si="0"/>
        <v>-33.0655</v>
      </c>
    </row>
    <row r="42" spans="1:20" x14ac:dyDescent="0.3">
      <c r="A42">
        <v>41</v>
      </c>
      <c r="B42">
        <v>2</v>
      </c>
      <c r="C42">
        <v>1750892489.1909599</v>
      </c>
      <c r="D42">
        <v>1750892587.26314</v>
      </c>
      <c r="E42">
        <v>98.072180064308697</v>
      </c>
      <c r="F42">
        <v>1750892264</v>
      </c>
      <c r="G42">
        <v>1750892333</v>
      </c>
      <c r="H42">
        <v>68.891000000000005</v>
      </c>
      <c r="I42">
        <v>29.181180064308698</v>
      </c>
      <c r="J42">
        <v>29.181180064308698</v>
      </c>
      <c r="K42">
        <v>34.955227916800602</v>
      </c>
      <c r="L42">
        <v>254.26314043998701</v>
      </c>
      <c r="M42">
        <v>254.26314043998701</v>
      </c>
      <c r="N42" s="3">
        <v>1.45219164642973E-5</v>
      </c>
      <c r="O42" s="2">
        <v>45833.959365636576</v>
      </c>
      <c r="P42" s="2">
        <v>45833.960500729168</v>
      </c>
      <c r="Q42" s="1" t="s">
        <v>59</v>
      </c>
      <c r="R42" s="1" t="s">
        <v>64</v>
      </c>
      <c r="T42">
        <f t="shared" si="0"/>
        <v>-29.181180064308691</v>
      </c>
    </row>
    <row r="43" spans="1:20" x14ac:dyDescent="0.3">
      <c r="A43">
        <v>42</v>
      </c>
      <c r="B43">
        <v>1</v>
      </c>
      <c r="C43">
        <v>1750892513.5244901</v>
      </c>
      <c r="D43">
        <v>1750892611.50314</v>
      </c>
      <c r="E43">
        <v>97.978650641025595</v>
      </c>
      <c r="F43">
        <v>1750892270</v>
      </c>
      <c r="G43">
        <v>1750892335</v>
      </c>
      <c r="H43">
        <v>64.63</v>
      </c>
      <c r="I43">
        <v>33.3486506410256</v>
      </c>
      <c r="J43">
        <v>33.3486506410256</v>
      </c>
      <c r="K43">
        <v>41.0170682919521</v>
      </c>
      <c r="L43">
        <v>276.50314950942902</v>
      </c>
      <c r="M43">
        <v>276.50314950942902</v>
      </c>
      <c r="N43" s="3">
        <v>1.5792126228970301E-5</v>
      </c>
      <c r="O43" s="2">
        <v>45833.959647268515</v>
      </c>
      <c r="P43" s="2">
        <v>45833.960781284724</v>
      </c>
      <c r="Q43" s="1" t="s">
        <v>61</v>
      </c>
      <c r="R43" s="1" t="s">
        <v>65</v>
      </c>
      <c r="T43">
        <f t="shared" si="0"/>
        <v>-33.3486506410256</v>
      </c>
    </row>
    <row r="44" spans="1:20" x14ac:dyDescent="0.3">
      <c r="A44">
        <v>43</v>
      </c>
      <c r="B44">
        <v>3</v>
      </c>
      <c r="C44">
        <v>1750892567.15695</v>
      </c>
      <c r="D44">
        <v>1750892638.07307</v>
      </c>
      <c r="E44">
        <v>70.916120923912899</v>
      </c>
      <c r="F44">
        <v>1750892272</v>
      </c>
      <c r="G44">
        <v>1750892328</v>
      </c>
      <c r="H44">
        <v>56.186999999999998</v>
      </c>
      <c r="I44">
        <v>14.7291209239129</v>
      </c>
      <c r="J44">
        <v>14.7291209239129</v>
      </c>
      <c r="K44">
        <v>23.176647145792899</v>
      </c>
      <c r="L44">
        <v>310.07307291030799</v>
      </c>
      <c r="M44">
        <v>310.07307291030799</v>
      </c>
      <c r="N44" s="3">
        <v>1.77094296716926E-5</v>
      </c>
      <c r="O44" s="2">
        <v>45833.960268020834</v>
      </c>
      <c r="P44" s="2">
        <v>45833.961088807868</v>
      </c>
      <c r="Q44" s="1" t="s">
        <v>60</v>
      </c>
      <c r="R44" s="1" t="s">
        <v>66</v>
      </c>
      <c r="T44">
        <f t="shared" si="0"/>
        <v>-14.729120923912902</v>
      </c>
    </row>
    <row r="45" spans="1:20" x14ac:dyDescent="0.3">
      <c r="A45">
        <v>44</v>
      </c>
      <c r="B45">
        <v>2</v>
      </c>
      <c r="C45">
        <v>1750892587.26314</v>
      </c>
      <c r="D45">
        <v>1750892685.1352401</v>
      </c>
      <c r="E45">
        <v>97.872105431309905</v>
      </c>
      <c r="F45">
        <v>1750892323</v>
      </c>
      <c r="G45">
        <v>1750892388</v>
      </c>
      <c r="H45">
        <v>64.531000000000006</v>
      </c>
      <c r="I45">
        <v>33.341105431309899</v>
      </c>
      <c r="J45">
        <v>33.341105431309899</v>
      </c>
      <c r="K45">
        <v>41.059689521037903</v>
      </c>
      <c r="L45">
        <v>297.13524580001803</v>
      </c>
      <c r="M45">
        <v>297.13524580001803</v>
      </c>
      <c r="N45" s="3">
        <v>1.69705015924341E-5</v>
      </c>
      <c r="O45" s="2">
        <v>45833.960500729168</v>
      </c>
      <c r="P45" s="2">
        <v>45833.961633506944</v>
      </c>
      <c r="Q45" s="1" t="s">
        <v>63</v>
      </c>
      <c r="R45" s="1" t="s">
        <v>67</v>
      </c>
      <c r="T45">
        <f t="shared" si="0"/>
        <v>-33.341105431309899</v>
      </c>
    </row>
    <row r="46" spans="1:20" x14ac:dyDescent="0.3">
      <c r="A46">
        <v>45</v>
      </c>
      <c r="B46">
        <v>1</v>
      </c>
      <c r="C46">
        <v>1750892611.50314</v>
      </c>
      <c r="D46">
        <v>1750892709.2690699</v>
      </c>
      <c r="E46">
        <v>97.765923566878996</v>
      </c>
      <c r="F46">
        <v>1750892328</v>
      </c>
      <c r="G46">
        <v>1750892396</v>
      </c>
      <c r="H46">
        <v>68.147999999999996</v>
      </c>
      <c r="I46">
        <v>29.617923566879</v>
      </c>
      <c r="J46">
        <v>29.617923566879</v>
      </c>
      <c r="K46">
        <v>35.702758310022297</v>
      </c>
      <c r="L46">
        <v>313.26907300949</v>
      </c>
      <c r="M46">
        <v>313.26907300949</v>
      </c>
      <c r="N46" s="3">
        <v>1.7891964446254601E-5</v>
      </c>
      <c r="O46" s="2">
        <v>45833.960781284724</v>
      </c>
      <c r="P46" s="2">
        <v>45833.96191283565</v>
      </c>
      <c r="Q46" s="1" t="s">
        <v>66</v>
      </c>
      <c r="R46" s="1" t="s">
        <v>68</v>
      </c>
      <c r="T46">
        <f t="shared" si="0"/>
        <v>-29.617923566879</v>
      </c>
    </row>
    <row r="47" spans="1:20" x14ac:dyDescent="0.3">
      <c r="A47">
        <v>46</v>
      </c>
      <c r="B47">
        <v>3</v>
      </c>
      <c r="C47">
        <v>1750892638.07307</v>
      </c>
      <c r="D47">
        <v>1750892735.7449701</v>
      </c>
      <c r="E47">
        <v>97.671898412698397</v>
      </c>
      <c r="F47">
        <v>1750892333</v>
      </c>
      <c r="G47">
        <v>1750892402</v>
      </c>
      <c r="H47">
        <v>68.602000000000004</v>
      </c>
      <c r="I47">
        <v>29.0698984126984</v>
      </c>
      <c r="J47">
        <v>29.0698984126984</v>
      </c>
      <c r="K47">
        <v>34.9662799636125</v>
      </c>
      <c r="L47">
        <v>333.74497127532902</v>
      </c>
      <c r="M47">
        <v>333.74497127532902</v>
      </c>
      <c r="N47" s="3">
        <v>1.90614191417951E-5</v>
      </c>
      <c r="O47" s="2">
        <v>45833.961088807868</v>
      </c>
      <c r="P47" s="2">
        <v>45833.962219270834</v>
      </c>
      <c r="Q47" s="1" t="s">
        <v>64</v>
      </c>
      <c r="R47" s="1" t="s">
        <v>69</v>
      </c>
      <c r="T47">
        <f t="shared" si="0"/>
        <v>-29.069898412698393</v>
      </c>
    </row>
    <row r="48" spans="1:20" x14ac:dyDescent="0.3">
      <c r="A48">
        <v>47</v>
      </c>
      <c r="B48">
        <v>2</v>
      </c>
      <c r="C48">
        <v>1750892685.1352401</v>
      </c>
      <c r="D48">
        <v>1750892756.0313799</v>
      </c>
      <c r="E48">
        <v>70.896135685210098</v>
      </c>
      <c r="F48">
        <v>1750892335</v>
      </c>
      <c r="G48">
        <v>1750892406</v>
      </c>
      <c r="H48">
        <v>71.378</v>
      </c>
      <c r="I48">
        <v>-0.48186431478983099</v>
      </c>
      <c r="J48">
        <v>0.48186431478983099</v>
      </c>
      <c r="K48">
        <v>0.67737443980117895</v>
      </c>
      <c r="L48">
        <v>350.03138136863703</v>
      </c>
      <c r="M48">
        <v>350.03138136863703</v>
      </c>
      <c r="N48" s="3">
        <v>1.9991596581303901E-5</v>
      </c>
      <c r="O48" s="2">
        <v>45833.961633506944</v>
      </c>
      <c r="P48" s="2">
        <v>45833.962454062501</v>
      </c>
      <c r="Q48" s="1" t="s">
        <v>65</v>
      </c>
      <c r="R48" s="1" t="s">
        <v>70</v>
      </c>
      <c r="T48">
        <f t="shared" si="0"/>
        <v>0.48186431478990244</v>
      </c>
    </row>
    <row r="49" spans="1:20" x14ac:dyDescent="0.3">
      <c r="A49">
        <v>48</v>
      </c>
      <c r="B49">
        <v>1</v>
      </c>
      <c r="C49">
        <v>1750892709.2690699</v>
      </c>
      <c r="D49">
        <v>1750892780.1658599</v>
      </c>
      <c r="E49">
        <v>70.896788617886003</v>
      </c>
      <c r="F49">
        <v>1750892388</v>
      </c>
      <c r="G49">
        <v>1750892454</v>
      </c>
      <c r="H49">
        <v>65.984999999999999</v>
      </c>
      <c r="I49">
        <v>4.9117886178860299</v>
      </c>
      <c r="J49">
        <v>4.9117886178860299</v>
      </c>
      <c r="K49">
        <v>7.1766867857017704</v>
      </c>
      <c r="L49">
        <v>326.16586160659699</v>
      </c>
      <c r="M49">
        <v>326.16586160659699</v>
      </c>
      <c r="N49" s="3">
        <v>1.8628547429139602E-5</v>
      </c>
      <c r="O49" s="2">
        <v>45833.96191283565</v>
      </c>
      <c r="P49" s="2">
        <v>45833.962733402775</v>
      </c>
      <c r="Q49" s="1" t="s">
        <v>67</v>
      </c>
      <c r="R49" s="1" t="s">
        <v>71</v>
      </c>
      <c r="T49">
        <f t="shared" si="0"/>
        <v>-4.9117886178860033</v>
      </c>
    </row>
    <row r="50" spans="1:20" x14ac:dyDescent="0.3">
      <c r="A50">
        <v>49</v>
      </c>
      <c r="B50">
        <v>3</v>
      </c>
      <c r="C50">
        <v>1750892735.7449701</v>
      </c>
      <c r="D50">
        <v>1750892806.6351099</v>
      </c>
      <c r="E50">
        <v>70.890142083897004</v>
      </c>
      <c r="F50">
        <v>1750892396</v>
      </c>
      <c r="G50">
        <v>1750892458</v>
      </c>
      <c r="H50">
        <v>61.966000000000001</v>
      </c>
      <c r="I50">
        <v>8.9241420838969994</v>
      </c>
      <c r="J50">
        <v>8.9241420838969994</v>
      </c>
      <c r="K50">
        <v>13.434293580889101</v>
      </c>
      <c r="L50">
        <v>348.635113477706</v>
      </c>
      <c r="M50">
        <v>348.635113477706</v>
      </c>
      <c r="N50" s="3">
        <v>1.99118499354377E-5</v>
      </c>
      <c r="O50" s="2">
        <v>45833.962219270834</v>
      </c>
      <c r="P50" s="2">
        <v>45833.963039756942</v>
      </c>
      <c r="Q50" s="1" t="s">
        <v>68</v>
      </c>
      <c r="R50" s="1" t="s">
        <v>72</v>
      </c>
      <c r="T50">
        <f t="shared" si="0"/>
        <v>-8.9241420838970029</v>
      </c>
    </row>
    <row r="51" spans="1:20" x14ac:dyDescent="0.3">
      <c r="A51">
        <v>50</v>
      </c>
      <c r="B51">
        <v>2</v>
      </c>
      <c r="C51">
        <v>1750892756.0313799</v>
      </c>
      <c r="D51">
        <v>1750892853.61128</v>
      </c>
      <c r="E51">
        <v>97.579905063291093</v>
      </c>
      <c r="F51">
        <v>1750892401</v>
      </c>
      <c r="G51">
        <v>1750892466</v>
      </c>
      <c r="H51">
        <v>64.224999999999994</v>
      </c>
      <c r="I51">
        <v>33.354905063291099</v>
      </c>
      <c r="J51">
        <v>33.354905063291099</v>
      </c>
      <c r="K51">
        <v>41.228546254817303</v>
      </c>
      <c r="L51">
        <v>387.61128640174798</v>
      </c>
      <c r="M51">
        <v>387.61128640174798</v>
      </c>
      <c r="N51" s="3">
        <v>2.2137924002992499E-5</v>
      </c>
      <c r="O51" s="2">
        <v>45833.962454062501</v>
      </c>
      <c r="P51" s="2">
        <v>45833.963583460645</v>
      </c>
      <c r="Q51" s="1" t="s">
        <v>73</v>
      </c>
      <c r="R51" s="1" t="s">
        <v>74</v>
      </c>
      <c r="T51">
        <f t="shared" si="0"/>
        <v>-33.354905063291099</v>
      </c>
    </row>
    <row r="52" spans="1:20" x14ac:dyDescent="0.3">
      <c r="A52">
        <v>51</v>
      </c>
      <c r="B52">
        <v>1</v>
      </c>
      <c r="C52">
        <v>1750892780.1658599</v>
      </c>
      <c r="D52">
        <v>1750892851.0439401</v>
      </c>
      <c r="E52">
        <v>70.878082432432194</v>
      </c>
      <c r="F52">
        <v>1750892406</v>
      </c>
      <c r="G52">
        <v>1750892473</v>
      </c>
      <c r="H52">
        <v>66.634</v>
      </c>
      <c r="I52">
        <v>4.2440824324322701</v>
      </c>
      <c r="J52">
        <v>4.2440824324322701</v>
      </c>
      <c r="K52">
        <v>6.1726684046365801</v>
      </c>
      <c r="L52">
        <v>378.04394412040699</v>
      </c>
      <c r="M52">
        <v>378.04394412040699</v>
      </c>
      <c r="N52" s="3">
        <v>2.1591497429878599E-5</v>
      </c>
      <c r="O52" s="2">
        <v>45833.962733402775</v>
      </c>
      <c r="P52" s="2">
        <v>45833.96355375</v>
      </c>
      <c r="Q52" s="1" t="s">
        <v>70</v>
      </c>
      <c r="R52" s="1" t="s">
        <v>75</v>
      </c>
      <c r="T52">
        <f t="shared" si="0"/>
        <v>-4.2440824324321937</v>
      </c>
    </row>
    <row r="53" spans="1:20" x14ac:dyDescent="0.3">
      <c r="A53">
        <v>52</v>
      </c>
      <c r="B53">
        <v>3</v>
      </c>
      <c r="C53">
        <v>1750892806.6351099</v>
      </c>
      <c r="D53">
        <v>1750892904.1097901</v>
      </c>
      <c r="E53">
        <v>97.474684542586701</v>
      </c>
      <c r="F53">
        <v>1750892454</v>
      </c>
      <c r="G53">
        <v>1750892516</v>
      </c>
      <c r="H53">
        <v>62.414999999999999</v>
      </c>
      <c r="I53">
        <v>35.059684542586702</v>
      </c>
      <c r="J53">
        <v>35.059684542586702</v>
      </c>
      <c r="K53">
        <v>43.854842346941503</v>
      </c>
      <c r="L53">
        <v>388.10979795455899</v>
      </c>
      <c r="M53">
        <v>388.10979795455899</v>
      </c>
      <c r="N53" s="3">
        <v>2.2166395218036501E-5</v>
      </c>
      <c r="O53" s="2">
        <v>45833.963039756942</v>
      </c>
      <c r="P53" s="2">
        <v>45833.964167939812</v>
      </c>
      <c r="Q53" s="1" t="s">
        <v>71</v>
      </c>
      <c r="R53" s="1" t="s">
        <v>76</v>
      </c>
      <c r="T53">
        <f t="shared" si="0"/>
        <v>-35.059684542586702</v>
      </c>
    </row>
    <row r="54" spans="1:20" x14ac:dyDescent="0.3">
      <c r="A54">
        <v>53</v>
      </c>
      <c r="B54">
        <v>1</v>
      </c>
      <c r="C54">
        <v>1750892851.0439401</v>
      </c>
      <c r="D54">
        <v>1750892921.91629</v>
      </c>
      <c r="E54">
        <v>70.872354925775795</v>
      </c>
      <c r="F54">
        <v>1750892458</v>
      </c>
      <c r="G54">
        <v>1750892524</v>
      </c>
      <c r="H54">
        <v>66.524000000000001</v>
      </c>
      <c r="I54">
        <v>4.3483549257758201</v>
      </c>
      <c r="J54">
        <v>4.3483549257758201</v>
      </c>
      <c r="K54">
        <v>6.3296510713474001</v>
      </c>
      <c r="L54">
        <v>397.91629910468998</v>
      </c>
      <c r="M54">
        <v>397.91629910468998</v>
      </c>
      <c r="N54" s="3">
        <v>2.2726480833868899E-5</v>
      </c>
      <c r="O54" s="2">
        <v>45833.96355375</v>
      </c>
      <c r="P54" s="2">
        <v>45833.964374027775</v>
      </c>
      <c r="Q54" s="1" t="s">
        <v>72</v>
      </c>
      <c r="R54" s="1" t="s">
        <v>77</v>
      </c>
      <c r="T54">
        <f t="shared" si="0"/>
        <v>-4.3483549257757943</v>
      </c>
    </row>
    <row r="55" spans="1:20" x14ac:dyDescent="0.3">
      <c r="A55">
        <v>54</v>
      </c>
      <c r="B55">
        <v>2</v>
      </c>
      <c r="C55">
        <v>1750892853.61128</v>
      </c>
      <c r="D55">
        <v>1750892950.9757199</v>
      </c>
      <c r="E55">
        <v>97.364433962264101</v>
      </c>
      <c r="F55">
        <v>1750892466</v>
      </c>
      <c r="G55">
        <v>1750892535</v>
      </c>
      <c r="H55">
        <v>68.950999999999993</v>
      </c>
      <c r="I55">
        <v>28.413433962264101</v>
      </c>
      <c r="J55">
        <v>28.413433962264101</v>
      </c>
      <c r="K55">
        <v>34.168126535641797</v>
      </c>
      <c r="L55">
        <v>415.97572040557799</v>
      </c>
      <c r="M55">
        <v>415.97572040557799</v>
      </c>
      <c r="N55" s="3">
        <v>2.37579213273638E-5</v>
      </c>
      <c r="O55" s="2">
        <v>45833.963583460645</v>
      </c>
      <c r="P55" s="2">
        <v>45833.964710370368</v>
      </c>
      <c r="Q55" s="1" t="s">
        <v>74</v>
      </c>
      <c r="R55" s="1" t="s">
        <v>78</v>
      </c>
      <c r="T55">
        <f t="shared" si="0"/>
        <v>-28.413433962264108</v>
      </c>
    </row>
    <row r="56" spans="1:20" x14ac:dyDescent="0.3">
      <c r="A56">
        <v>55</v>
      </c>
      <c r="B56">
        <v>3</v>
      </c>
      <c r="C56">
        <v>1750892904.1097901</v>
      </c>
      <c r="D56">
        <v>1750893001.38516</v>
      </c>
      <c r="E56">
        <v>97.275363636363593</v>
      </c>
      <c r="F56">
        <v>1750892473</v>
      </c>
      <c r="G56">
        <v>1750892539</v>
      </c>
      <c r="H56">
        <v>65.637</v>
      </c>
      <c r="I56">
        <v>31.6383636363636</v>
      </c>
      <c r="J56">
        <v>31.6383636363636</v>
      </c>
      <c r="K56">
        <v>38.840960784269903</v>
      </c>
      <c r="L56">
        <v>462.38516163825898</v>
      </c>
      <c r="M56">
        <v>462.38516163825898</v>
      </c>
      <c r="N56" s="3">
        <v>2.6408536805335099E-5</v>
      </c>
      <c r="O56" s="2">
        <v>45833.964167939812</v>
      </c>
      <c r="P56" s="2">
        <v>45833.965293807873</v>
      </c>
      <c r="Q56" s="1" t="s">
        <v>75</v>
      </c>
      <c r="R56" s="1" t="s">
        <v>79</v>
      </c>
      <c r="T56">
        <f t="shared" si="0"/>
        <v>-31.638363636363593</v>
      </c>
    </row>
    <row r="57" spans="1:20" x14ac:dyDescent="0.3">
      <c r="A57">
        <v>56</v>
      </c>
      <c r="B57">
        <v>1</v>
      </c>
      <c r="C57">
        <v>1750892921.91629</v>
      </c>
      <c r="D57">
        <v>1750893019.0927899</v>
      </c>
      <c r="E57">
        <v>97.176493750000006</v>
      </c>
      <c r="F57">
        <v>1750892516</v>
      </c>
      <c r="G57">
        <v>1750892584</v>
      </c>
      <c r="H57">
        <v>67.534000000000006</v>
      </c>
      <c r="I57">
        <v>29.64249375</v>
      </c>
      <c r="J57">
        <v>29.64249375</v>
      </c>
      <c r="K57">
        <v>35.993448960200197</v>
      </c>
      <c r="L57">
        <v>435.092792749404</v>
      </c>
      <c r="M57">
        <v>435.092792749404</v>
      </c>
      <c r="N57" s="3">
        <v>2.4849767636552501E-5</v>
      </c>
      <c r="O57" s="2">
        <v>45833.964374027775</v>
      </c>
      <c r="P57" s="2">
        <v>45833.965498761572</v>
      </c>
      <c r="Q57" s="1" t="s">
        <v>76</v>
      </c>
      <c r="R57" s="1" t="s">
        <v>80</v>
      </c>
      <c r="T57">
        <f t="shared" si="0"/>
        <v>-29.64249375</v>
      </c>
    </row>
    <row r="58" spans="1:20" x14ac:dyDescent="0.3">
      <c r="A58">
        <v>57</v>
      </c>
      <c r="B58">
        <v>2</v>
      </c>
      <c r="C58">
        <v>1750892950.9757199</v>
      </c>
      <c r="D58">
        <v>1750893021.8422101</v>
      </c>
      <c r="E58">
        <v>70.866494609164207</v>
      </c>
      <c r="F58">
        <v>1750892524</v>
      </c>
      <c r="G58">
        <v>1750892588</v>
      </c>
      <c r="H58">
        <v>64.156999999999996</v>
      </c>
      <c r="I58">
        <v>6.7094946091642598</v>
      </c>
      <c r="J58">
        <v>6.7094946091642598</v>
      </c>
      <c r="K58">
        <v>9.93826241660447</v>
      </c>
      <c r="L58">
        <v>433.84221506118701</v>
      </c>
      <c r="M58">
        <v>433.84221506118701</v>
      </c>
      <c r="N58" s="3">
        <v>2.4778342445740702E-5</v>
      </c>
      <c r="O58" s="2">
        <v>45833.964710370368</v>
      </c>
      <c r="P58" s="2">
        <v>45833.965530578702</v>
      </c>
      <c r="Q58" s="1" t="s">
        <v>77</v>
      </c>
      <c r="R58" s="1" t="s">
        <v>81</v>
      </c>
      <c r="T58">
        <f t="shared" si="0"/>
        <v>-6.70949460916421</v>
      </c>
    </row>
    <row r="59" spans="1:20" x14ac:dyDescent="0.3">
      <c r="A59">
        <v>58</v>
      </c>
      <c r="B59">
        <v>3</v>
      </c>
      <c r="C59">
        <v>1750893001.38516</v>
      </c>
      <c r="D59">
        <v>1750893098.46931</v>
      </c>
      <c r="E59">
        <v>97.084149532710299</v>
      </c>
      <c r="F59">
        <v>1750892535</v>
      </c>
      <c r="G59">
        <v>1750892602</v>
      </c>
      <c r="H59">
        <v>67.204999999999998</v>
      </c>
      <c r="I59">
        <v>29.879149532710301</v>
      </c>
      <c r="J59">
        <v>29.879149532710301</v>
      </c>
      <c r="K59">
        <v>36.373856237853701</v>
      </c>
      <c r="L59">
        <v>496.46931123733498</v>
      </c>
      <c r="M59">
        <v>496.46931123733498</v>
      </c>
      <c r="N59" s="3">
        <v>2.8355208096874499E-5</v>
      </c>
      <c r="O59" s="2">
        <v>45833.965293807873</v>
      </c>
      <c r="P59" s="2">
        <v>45833.966417465279</v>
      </c>
      <c r="Q59" s="1" t="s">
        <v>78</v>
      </c>
      <c r="R59" s="1" t="s">
        <v>82</v>
      </c>
      <c r="T59">
        <f t="shared" si="0"/>
        <v>-29.879149532710301</v>
      </c>
    </row>
    <row r="60" spans="1:20" x14ac:dyDescent="0.3">
      <c r="A60">
        <v>59</v>
      </c>
      <c r="B60">
        <v>1</v>
      </c>
      <c r="C60">
        <v>1750893019.0927899</v>
      </c>
      <c r="D60">
        <v>1750893089.9502499</v>
      </c>
      <c r="E60">
        <v>70.857464333781806</v>
      </c>
      <c r="F60">
        <v>1750892539</v>
      </c>
      <c r="G60">
        <v>1750892603</v>
      </c>
      <c r="H60">
        <v>64.59</v>
      </c>
      <c r="I60">
        <v>6.2674643337817999</v>
      </c>
      <c r="J60">
        <v>6.2674643337817999</v>
      </c>
      <c r="K60">
        <v>9.2544579769126596</v>
      </c>
      <c r="L60">
        <v>486.95025706291199</v>
      </c>
      <c r="M60">
        <v>486.95025706291199</v>
      </c>
      <c r="N60" s="3">
        <v>2.78115395835463E-5</v>
      </c>
      <c r="O60" s="2">
        <v>45833.965498761572</v>
      </c>
      <c r="P60" s="2">
        <v>45833.966318865743</v>
      </c>
      <c r="Q60" s="1" t="s">
        <v>79</v>
      </c>
      <c r="R60" s="1" t="s">
        <v>83</v>
      </c>
      <c r="T60">
        <f t="shared" si="0"/>
        <v>-6.2674643337818026</v>
      </c>
    </row>
    <row r="61" spans="1:20" x14ac:dyDescent="0.3">
      <c r="A61">
        <v>60</v>
      </c>
      <c r="B61">
        <v>2</v>
      </c>
      <c r="C61">
        <v>1750893021.8422101</v>
      </c>
      <c r="D61">
        <v>1750893118.83357</v>
      </c>
      <c r="E61">
        <v>96.991357142857098</v>
      </c>
      <c r="F61">
        <v>1750892583</v>
      </c>
      <c r="G61">
        <v>1750892649</v>
      </c>
      <c r="H61">
        <v>65.114999999999995</v>
      </c>
      <c r="I61">
        <v>31.876357142857099</v>
      </c>
      <c r="J61">
        <v>31.876357142857099</v>
      </c>
      <c r="K61">
        <v>39.327707691026497</v>
      </c>
      <c r="L61">
        <v>469.83357214927599</v>
      </c>
      <c r="M61">
        <v>469.83357214927599</v>
      </c>
      <c r="N61" s="3">
        <v>2.6833941497223302E-5</v>
      </c>
      <c r="O61" s="2">
        <v>45833.965530578702</v>
      </c>
      <c r="P61" s="2">
        <v>45833.966653171294</v>
      </c>
      <c r="Q61" s="1" t="s">
        <v>84</v>
      </c>
      <c r="R61" s="1" t="s">
        <v>85</v>
      </c>
      <c r="T61">
        <f t="shared" si="0"/>
        <v>-31.876357142857103</v>
      </c>
    </row>
    <row r="62" spans="1:20" x14ac:dyDescent="0.3">
      <c r="A62">
        <v>61</v>
      </c>
      <c r="B62">
        <v>1</v>
      </c>
      <c r="C62">
        <v>1750893089.9502499</v>
      </c>
      <c r="D62">
        <v>1750893160.7992899</v>
      </c>
      <c r="E62">
        <v>70.849040322580393</v>
      </c>
      <c r="F62">
        <v>1750892588</v>
      </c>
      <c r="G62">
        <v>1750892650</v>
      </c>
      <c r="H62">
        <v>62.631</v>
      </c>
      <c r="I62">
        <v>8.2180403225804906</v>
      </c>
      <c r="J62">
        <v>8.2180403225804906</v>
      </c>
      <c r="K62">
        <v>12.313511896939699</v>
      </c>
      <c r="L62">
        <v>510.79929733276299</v>
      </c>
      <c r="M62">
        <v>510.79929733276299</v>
      </c>
      <c r="N62" s="3">
        <v>2.9173645958441501E-5</v>
      </c>
      <c r="O62" s="2">
        <v>45833.966318865743</v>
      </c>
      <c r="P62" s="2">
        <v>45833.967138877313</v>
      </c>
      <c r="Q62" s="1" t="s">
        <v>81</v>
      </c>
      <c r="R62" s="1" t="s">
        <v>86</v>
      </c>
      <c r="T62">
        <f t="shared" si="0"/>
        <v>-8.2180403225803929</v>
      </c>
    </row>
    <row r="63" spans="1:20" x14ac:dyDescent="0.3">
      <c r="A63">
        <v>62</v>
      </c>
      <c r="B63">
        <v>3</v>
      </c>
      <c r="C63">
        <v>1750893098.46931</v>
      </c>
      <c r="D63">
        <v>1750893195.36198</v>
      </c>
      <c r="E63">
        <v>96.892668730650101</v>
      </c>
      <c r="F63">
        <v>1750892602</v>
      </c>
      <c r="G63">
        <v>1750892665</v>
      </c>
      <c r="H63">
        <v>62.78</v>
      </c>
      <c r="I63">
        <v>34.1126687306501</v>
      </c>
      <c r="J63">
        <v>34.1126687306501</v>
      </c>
      <c r="K63">
        <v>42.728250240740202</v>
      </c>
      <c r="L63">
        <v>530.36197996139504</v>
      </c>
      <c r="M63">
        <v>530.36197996139504</v>
      </c>
      <c r="N63" s="3">
        <v>3.02909430279424E-5</v>
      </c>
      <c r="O63" s="2">
        <v>45833.966417465279</v>
      </c>
      <c r="P63" s="2">
        <v>45833.967538912038</v>
      </c>
      <c r="Q63" s="1" t="s">
        <v>82</v>
      </c>
      <c r="R63" s="1" t="s">
        <v>87</v>
      </c>
      <c r="T63">
        <f t="shared" si="0"/>
        <v>-34.1126687306501</v>
      </c>
    </row>
    <row r="64" spans="1:20" x14ac:dyDescent="0.3">
      <c r="A64">
        <v>63</v>
      </c>
      <c r="B64">
        <v>2</v>
      </c>
      <c r="C64">
        <v>1750893118.83357</v>
      </c>
      <c r="D64">
        <v>1750893215.62095</v>
      </c>
      <c r="E64">
        <v>96.787382716049393</v>
      </c>
      <c r="F64">
        <v>1750892603</v>
      </c>
      <c r="G64">
        <v>1750892672</v>
      </c>
      <c r="H64">
        <v>69.171999999999997</v>
      </c>
      <c r="I64">
        <v>27.6153827160494</v>
      </c>
      <c r="J64">
        <v>27.6153827160494</v>
      </c>
      <c r="K64">
        <v>33.279688396164197</v>
      </c>
      <c r="L64">
        <v>543.62095475196804</v>
      </c>
      <c r="M64">
        <v>543.62095475196804</v>
      </c>
      <c r="N64" s="3">
        <v>3.1048212095074303E-5</v>
      </c>
      <c r="O64" s="2">
        <v>45833.966653171294</v>
      </c>
      <c r="P64" s="2">
        <v>45833.967773391203</v>
      </c>
      <c r="Q64" s="1" t="s">
        <v>83</v>
      </c>
      <c r="R64" s="1" t="s">
        <v>88</v>
      </c>
      <c r="T64">
        <f t="shared" si="0"/>
        <v>-27.615382716049396</v>
      </c>
    </row>
    <row r="65" spans="1:20" x14ac:dyDescent="0.3">
      <c r="A65">
        <v>64</v>
      </c>
      <c r="B65">
        <v>1</v>
      </c>
      <c r="C65">
        <v>1750893160.7992899</v>
      </c>
      <c r="D65">
        <v>1750893257.5016999</v>
      </c>
      <c r="E65">
        <v>96.702412307692299</v>
      </c>
      <c r="F65">
        <v>1750892649</v>
      </c>
      <c r="G65">
        <v>1750892717</v>
      </c>
      <c r="H65">
        <v>68.126000000000005</v>
      </c>
      <c r="I65">
        <v>28.576412307692301</v>
      </c>
      <c r="J65">
        <v>28.576412307692301</v>
      </c>
      <c r="K65">
        <v>34.674134037458899</v>
      </c>
      <c r="L65">
        <v>540.50170969963006</v>
      </c>
      <c r="M65">
        <v>540.50170969963006</v>
      </c>
      <c r="N65" s="3">
        <v>3.0870059657289099E-5</v>
      </c>
      <c r="O65" s="2">
        <v>45833.967138877313</v>
      </c>
      <c r="P65" s="2">
        <v>45833.968258125002</v>
      </c>
      <c r="Q65" s="1" t="s">
        <v>85</v>
      </c>
      <c r="R65" s="1" t="s">
        <v>89</v>
      </c>
      <c r="T65">
        <f t="shared" si="0"/>
        <v>-28.576412307692294</v>
      </c>
    </row>
    <row r="66" spans="1:20" x14ac:dyDescent="0.3">
      <c r="A66">
        <v>65</v>
      </c>
      <c r="B66">
        <v>3</v>
      </c>
      <c r="C66">
        <v>1750893195.36198</v>
      </c>
      <c r="D66">
        <v>1750893266.19998</v>
      </c>
      <c r="E66">
        <v>70.838009395973003</v>
      </c>
      <c r="F66">
        <v>1750892650</v>
      </c>
      <c r="G66">
        <v>1750892713</v>
      </c>
      <c r="H66">
        <v>62.965000000000003</v>
      </c>
      <c r="I66">
        <v>7.8730093959729999</v>
      </c>
      <c r="J66">
        <v>7.8730093959729999</v>
      </c>
      <c r="K66">
        <v>11.7680602723572</v>
      </c>
      <c r="L66">
        <v>553.19998931884697</v>
      </c>
      <c r="M66">
        <v>553.19998931884697</v>
      </c>
      <c r="N66" s="3">
        <v>3.1595305515800197E-5</v>
      </c>
      <c r="O66" s="2">
        <v>45833.967538912038</v>
      </c>
      <c r="P66" s="2">
        <v>45833.968358796294</v>
      </c>
      <c r="Q66" s="1" t="s">
        <v>86</v>
      </c>
      <c r="R66" s="1" t="s">
        <v>90</v>
      </c>
      <c r="T66">
        <f t="shared" si="0"/>
        <v>-7.8730093959729999</v>
      </c>
    </row>
    <row r="67" spans="1:20" x14ac:dyDescent="0.3">
      <c r="A67">
        <v>66</v>
      </c>
      <c r="B67">
        <v>2</v>
      </c>
      <c r="C67">
        <v>1750893215.62095</v>
      </c>
      <c r="D67">
        <v>1750893312.2356999</v>
      </c>
      <c r="E67">
        <v>96.614754601227006</v>
      </c>
      <c r="F67">
        <v>1750892665</v>
      </c>
      <c r="G67">
        <v>1750892730</v>
      </c>
      <c r="H67">
        <v>65.364999999999995</v>
      </c>
      <c r="I67">
        <v>31.249754601227</v>
      </c>
      <c r="J67">
        <v>31.249754601227</v>
      </c>
      <c r="K67">
        <v>38.584765951967</v>
      </c>
      <c r="L67">
        <v>582.235709428787</v>
      </c>
      <c r="M67">
        <v>582.235709428787</v>
      </c>
      <c r="N67" s="3">
        <v>3.3253642707254599E-5</v>
      </c>
      <c r="O67" s="2">
        <v>45833.967773391203</v>
      </c>
      <c r="P67" s="2">
        <v>45833.968891620367</v>
      </c>
      <c r="Q67" s="1" t="s">
        <v>87</v>
      </c>
      <c r="R67" s="1" t="s">
        <v>91</v>
      </c>
      <c r="T67">
        <f t="shared" ref="T67:T130" si="1">H67-E67</f>
        <v>-31.249754601227011</v>
      </c>
    </row>
    <row r="68" spans="1:20" x14ac:dyDescent="0.3">
      <c r="A68">
        <v>67</v>
      </c>
      <c r="B68">
        <v>1</v>
      </c>
      <c r="C68">
        <v>1750893257.5016999</v>
      </c>
      <c r="D68">
        <v>1750893354.02089</v>
      </c>
      <c r="E68">
        <v>96.519189602446502</v>
      </c>
      <c r="F68">
        <v>1750892672</v>
      </c>
      <c r="G68">
        <v>1750892737</v>
      </c>
      <c r="H68">
        <v>64.98</v>
      </c>
      <c r="I68">
        <v>31.539189602446498</v>
      </c>
      <c r="J68">
        <v>31.539189602446498</v>
      </c>
      <c r="K68">
        <v>39.058015931949498</v>
      </c>
      <c r="L68">
        <v>617.02089929580598</v>
      </c>
      <c r="M68">
        <v>617.02089929580598</v>
      </c>
      <c r="N68" s="3">
        <v>3.5240353537181499E-5</v>
      </c>
      <c r="O68" s="2">
        <v>45833.968258125002</v>
      </c>
      <c r="P68" s="2">
        <v>45833.969375243054</v>
      </c>
      <c r="Q68" s="1" t="s">
        <v>88</v>
      </c>
      <c r="R68" s="1" t="s">
        <v>92</v>
      </c>
      <c r="T68">
        <f t="shared" si="1"/>
        <v>-31.539189602446498</v>
      </c>
    </row>
    <row r="69" spans="1:20" x14ac:dyDescent="0.3">
      <c r="A69">
        <v>68</v>
      </c>
      <c r="B69">
        <v>3</v>
      </c>
      <c r="C69">
        <v>1750893266.19998</v>
      </c>
      <c r="D69">
        <v>1750893337.0274401</v>
      </c>
      <c r="E69">
        <v>70.827455764074898</v>
      </c>
      <c r="F69">
        <v>1750892713</v>
      </c>
      <c r="G69">
        <v>1750892771</v>
      </c>
      <c r="H69">
        <v>58.305999999999997</v>
      </c>
      <c r="I69">
        <v>12.521455764074901</v>
      </c>
      <c r="J69">
        <v>12.521455764074901</v>
      </c>
      <c r="K69">
        <v>19.3930468134477</v>
      </c>
      <c r="L69">
        <v>566.027445077896</v>
      </c>
      <c r="M69">
        <v>566.027445077896</v>
      </c>
      <c r="N69" s="3">
        <v>3.2327927955413503E-5</v>
      </c>
      <c r="O69" s="2">
        <v>45833.968358796294</v>
      </c>
      <c r="P69" s="2">
        <v>45833.969178553241</v>
      </c>
      <c r="Q69" s="1" t="s">
        <v>90</v>
      </c>
      <c r="R69" s="1" t="s">
        <v>93</v>
      </c>
      <c r="T69">
        <f t="shared" si="1"/>
        <v>-12.521455764074901</v>
      </c>
    </row>
    <row r="70" spans="1:20" x14ac:dyDescent="0.3">
      <c r="A70">
        <v>69</v>
      </c>
      <c r="B70">
        <v>2</v>
      </c>
      <c r="C70">
        <v>1750893312.2356999</v>
      </c>
      <c r="D70">
        <v>1750893408.65874</v>
      </c>
      <c r="E70">
        <v>96.423033536585294</v>
      </c>
      <c r="F70">
        <v>1750892717</v>
      </c>
      <c r="G70">
        <v>1750892787</v>
      </c>
      <c r="H70">
        <v>69.796999999999997</v>
      </c>
      <c r="I70">
        <v>26.6260335365853</v>
      </c>
      <c r="J70">
        <v>26.6260335365853</v>
      </c>
      <c r="K70">
        <v>32.037093207209502</v>
      </c>
      <c r="L70">
        <v>621.65874290466297</v>
      </c>
      <c r="M70">
        <v>621.65874290466297</v>
      </c>
      <c r="N70" s="3">
        <v>3.5505236937386398E-5</v>
      </c>
      <c r="O70" s="2">
        <v>45833.968891620367</v>
      </c>
      <c r="P70" s="2">
        <v>45833.970007627315</v>
      </c>
      <c r="Q70" s="1" t="s">
        <v>89</v>
      </c>
      <c r="R70" s="1" t="s">
        <v>94</v>
      </c>
      <c r="T70">
        <f t="shared" si="1"/>
        <v>-26.626033536585297</v>
      </c>
    </row>
    <row r="71" spans="1:20" x14ac:dyDescent="0.3">
      <c r="A71">
        <v>70</v>
      </c>
      <c r="B71">
        <v>3</v>
      </c>
      <c r="C71">
        <v>1750893337.0274401</v>
      </c>
      <c r="D71">
        <v>1750893433.36954</v>
      </c>
      <c r="E71">
        <v>96.342103343464998</v>
      </c>
      <c r="F71">
        <v>1750892730</v>
      </c>
      <c r="G71">
        <v>1750892797</v>
      </c>
      <c r="H71">
        <v>67.332999999999998</v>
      </c>
      <c r="I71">
        <v>29.009103343465</v>
      </c>
      <c r="J71">
        <v>29.009103343465</v>
      </c>
      <c r="K71">
        <v>35.4471788938977</v>
      </c>
      <c r="L71">
        <v>636.36954832077004</v>
      </c>
      <c r="M71">
        <v>636.36954832077004</v>
      </c>
      <c r="N71" s="3">
        <v>3.63454252462243E-5</v>
      </c>
      <c r="O71" s="2">
        <v>45833.969178553241</v>
      </c>
      <c r="P71" s="2">
        <v>45833.970293634258</v>
      </c>
      <c r="Q71" s="1" t="s">
        <v>91</v>
      </c>
      <c r="R71" s="1" t="s">
        <v>95</v>
      </c>
      <c r="T71">
        <f t="shared" si="1"/>
        <v>-29.009103343465</v>
      </c>
    </row>
    <row r="72" spans="1:20" x14ac:dyDescent="0.3">
      <c r="A72">
        <v>71</v>
      </c>
      <c r="B72">
        <v>1</v>
      </c>
      <c r="C72">
        <v>1750893354.02089</v>
      </c>
      <c r="D72">
        <v>1750893450.27509</v>
      </c>
      <c r="E72">
        <v>96.254196969696906</v>
      </c>
      <c r="F72">
        <v>1750892737</v>
      </c>
      <c r="G72">
        <v>1750892806</v>
      </c>
      <c r="H72">
        <v>69.599000000000004</v>
      </c>
      <c r="I72">
        <v>26.655196969696899</v>
      </c>
      <c r="J72">
        <v>26.655196969696899</v>
      </c>
      <c r="K72">
        <v>32.143121093489803</v>
      </c>
      <c r="L72">
        <v>644.27509617805401</v>
      </c>
      <c r="M72">
        <v>644.27509617805401</v>
      </c>
      <c r="N72" s="3">
        <v>3.6796940134397501E-5</v>
      </c>
      <c r="O72" s="2">
        <v>45833.969375243054</v>
      </c>
      <c r="P72" s="2">
        <v>45833.970489293984</v>
      </c>
      <c r="Q72" s="1" t="s">
        <v>92</v>
      </c>
      <c r="R72" s="1" t="s">
        <v>96</v>
      </c>
      <c r="T72">
        <f t="shared" si="1"/>
        <v>-26.655196969696902</v>
      </c>
    </row>
    <row r="73" spans="1:20" x14ac:dyDescent="0.3">
      <c r="A73">
        <v>72</v>
      </c>
      <c r="B73">
        <v>2</v>
      </c>
      <c r="C73">
        <v>1750893408.65874</v>
      </c>
      <c r="D73">
        <v>1750893479.46943</v>
      </c>
      <c r="E73">
        <v>70.810693440428196</v>
      </c>
      <c r="F73">
        <v>1750892771</v>
      </c>
      <c r="G73">
        <v>1750892836</v>
      </c>
      <c r="H73">
        <v>64.498000000000005</v>
      </c>
      <c r="I73">
        <v>6.3126934404282196</v>
      </c>
      <c r="J73">
        <v>6.3126934404282196</v>
      </c>
      <c r="K73">
        <v>9.3308024487095906</v>
      </c>
      <c r="L73">
        <v>643.46943640708901</v>
      </c>
      <c r="M73">
        <v>643.46943640708901</v>
      </c>
      <c r="N73" s="3">
        <v>3.67509252957274E-5</v>
      </c>
      <c r="O73" s="2">
        <v>45833.970007627315</v>
      </c>
      <c r="P73" s="2">
        <v>45833.970827187499</v>
      </c>
      <c r="Q73" s="1" t="s">
        <v>93</v>
      </c>
      <c r="R73" s="1" t="s">
        <v>97</v>
      </c>
      <c r="T73">
        <f t="shared" si="1"/>
        <v>-6.3126934404281911</v>
      </c>
    </row>
    <row r="74" spans="1:20" x14ac:dyDescent="0.3">
      <c r="A74">
        <v>73</v>
      </c>
      <c r="B74">
        <v>3</v>
      </c>
      <c r="C74">
        <v>1750893433.36954</v>
      </c>
      <c r="D74">
        <v>1750893504.1717999</v>
      </c>
      <c r="E74">
        <v>70.802254010694995</v>
      </c>
      <c r="F74">
        <v>1750892787</v>
      </c>
      <c r="G74">
        <v>1750892843</v>
      </c>
      <c r="H74">
        <v>56.030999999999999</v>
      </c>
      <c r="I74">
        <v>14.771254010694999</v>
      </c>
      <c r="J74">
        <v>14.771254010694999</v>
      </c>
      <c r="K74">
        <v>23.292399341026801</v>
      </c>
      <c r="L74">
        <v>661.17180228233303</v>
      </c>
      <c r="M74">
        <v>661.17180228233303</v>
      </c>
      <c r="N74" s="3">
        <v>3.7761972703807298E-5</v>
      </c>
      <c r="O74" s="2">
        <v>45833.970293634258</v>
      </c>
      <c r="P74" s="2">
        <v>45833.971113101848</v>
      </c>
      <c r="Q74" s="1" t="s">
        <v>94</v>
      </c>
      <c r="R74" s="1" t="s">
        <v>98</v>
      </c>
      <c r="T74">
        <f t="shared" si="1"/>
        <v>-14.771254010694996</v>
      </c>
    </row>
    <row r="75" spans="1:20" x14ac:dyDescent="0.3">
      <c r="A75">
        <v>74</v>
      </c>
      <c r="B75">
        <v>1</v>
      </c>
      <c r="C75">
        <v>1750893450.27509</v>
      </c>
      <c r="D75">
        <v>1750893546.44876</v>
      </c>
      <c r="E75">
        <v>96.173667673715997</v>
      </c>
      <c r="F75">
        <v>1750892797</v>
      </c>
      <c r="G75">
        <v>1750892867</v>
      </c>
      <c r="H75">
        <v>70.007999999999996</v>
      </c>
      <c r="I75">
        <v>26.165667673716001</v>
      </c>
      <c r="J75">
        <v>26.165667673716001</v>
      </c>
      <c r="K75">
        <v>31.490438193327201</v>
      </c>
      <c r="L75">
        <v>679.44876384735096</v>
      </c>
      <c r="M75">
        <v>679.44876384735096</v>
      </c>
      <c r="N75" s="3">
        <v>3.8805837000103597E-5</v>
      </c>
      <c r="O75" s="2">
        <v>45833.970489293984</v>
      </c>
      <c r="P75" s="2">
        <v>45833.971602418984</v>
      </c>
      <c r="Q75" s="1" t="s">
        <v>95</v>
      </c>
      <c r="R75" s="1" t="s">
        <v>99</v>
      </c>
      <c r="T75">
        <f t="shared" si="1"/>
        <v>-26.165667673716001</v>
      </c>
    </row>
    <row r="76" spans="1:20" x14ac:dyDescent="0.3">
      <c r="A76">
        <v>75</v>
      </c>
      <c r="B76">
        <v>2</v>
      </c>
      <c r="C76">
        <v>1750893479.46943</v>
      </c>
      <c r="D76">
        <v>1750893575.56429</v>
      </c>
      <c r="E76">
        <v>96.094855421686702</v>
      </c>
      <c r="F76">
        <v>1750892806</v>
      </c>
      <c r="G76">
        <v>1750892870</v>
      </c>
      <c r="H76">
        <v>63.865000000000002</v>
      </c>
      <c r="I76">
        <v>32.2298554216867</v>
      </c>
      <c r="J76">
        <v>32.2298554216867</v>
      </c>
      <c r="K76">
        <v>40.297430047960802</v>
      </c>
      <c r="L76">
        <v>705.56429171562195</v>
      </c>
      <c r="M76">
        <v>705.56429171562195</v>
      </c>
      <c r="N76" s="3">
        <v>4.0297391213525202E-5</v>
      </c>
      <c r="O76" s="2">
        <v>45833.970827187499</v>
      </c>
      <c r="P76" s="2">
        <v>45833.97193939815</v>
      </c>
      <c r="Q76" s="1" t="s">
        <v>96</v>
      </c>
      <c r="R76" s="1" t="s">
        <v>100</v>
      </c>
      <c r="T76">
        <f t="shared" si="1"/>
        <v>-32.2298554216867</v>
      </c>
    </row>
    <row r="77" spans="1:20" x14ac:dyDescent="0.3">
      <c r="A77">
        <v>76</v>
      </c>
      <c r="B77">
        <v>3</v>
      </c>
      <c r="C77">
        <v>1750893504.1717999</v>
      </c>
      <c r="D77">
        <v>1750893574.95433</v>
      </c>
      <c r="E77">
        <v>70.782532710280194</v>
      </c>
      <c r="F77">
        <v>1750892836</v>
      </c>
      <c r="G77">
        <v>1750892897</v>
      </c>
      <c r="H77">
        <v>60.67</v>
      </c>
      <c r="I77">
        <v>10.112532710280201</v>
      </c>
      <c r="J77">
        <v>10.112532710280201</v>
      </c>
      <c r="K77">
        <v>15.3858316789804</v>
      </c>
      <c r="L77">
        <v>677.95433497428803</v>
      </c>
      <c r="M77">
        <v>677.95433497428803</v>
      </c>
      <c r="N77" s="3">
        <v>3.8720483981761699E-5</v>
      </c>
      <c r="O77" s="2">
        <v>45833.971113101848</v>
      </c>
      <c r="P77" s="2">
        <v>45833.971932337961</v>
      </c>
      <c r="Q77" s="1" t="s">
        <v>97</v>
      </c>
      <c r="R77" s="1" t="s">
        <v>101</v>
      </c>
      <c r="T77">
        <f t="shared" si="1"/>
        <v>-10.112532710280192</v>
      </c>
    </row>
    <row r="78" spans="1:20" x14ac:dyDescent="0.3">
      <c r="A78">
        <v>77</v>
      </c>
      <c r="B78">
        <v>1</v>
      </c>
      <c r="C78">
        <v>1750893546.44876</v>
      </c>
      <c r="D78">
        <v>1750893617.2178099</v>
      </c>
      <c r="E78">
        <v>70.769049333333101</v>
      </c>
      <c r="F78">
        <v>1750892843</v>
      </c>
      <c r="G78">
        <v>1750892908</v>
      </c>
      <c r="H78">
        <v>65.132000000000005</v>
      </c>
      <c r="I78">
        <v>5.6370493333331799</v>
      </c>
      <c r="J78">
        <v>5.6370493333331799</v>
      </c>
      <c r="K78">
        <v>8.2958142869181604</v>
      </c>
      <c r="L78">
        <v>709.21781325340203</v>
      </c>
      <c r="M78">
        <v>709.21781325340203</v>
      </c>
      <c r="N78" s="3">
        <v>4.0506056445533199E-5</v>
      </c>
      <c r="O78" s="2">
        <v>45833.971602418984</v>
      </c>
      <c r="P78" s="2">
        <v>45833.97242150463</v>
      </c>
      <c r="Q78" s="1" t="s">
        <v>98</v>
      </c>
      <c r="R78" s="1" t="s">
        <v>102</v>
      </c>
      <c r="T78">
        <f t="shared" si="1"/>
        <v>-5.6370493333330955</v>
      </c>
    </row>
    <row r="79" spans="1:20" x14ac:dyDescent="0.3">
      <c r="A79">
        <v>78</v>
      </c>
      <c r="B79">
        <v>3</v>
      </c>
      <c r="C79">
        <v>1750893574.95433</v>
      </c>
      <c r="D79">
        <v>1750893670.9524</v>
      </c>
      <c r="E79">
        <v>95.998069069069004</v>
      </c>
      <c r="F79">
        <v>1750892867</v>
      </c>
      <c r="G79">
        <v>1750892932</v>
      </c>
      <c r="H79">
        <v>65.082999999999998</v>
      </c>
      <c r="I79">
        <v>30.915069069068998</v>
      </c>
      <c r="J79">
        <v>30.915069069068998</v>
      </c>
      <c r="K79">
        <v>38.3844845924298</v>
      </c>
      <c r="L79">
        <v>738.952404022216</v>
      </c>
      <c r="M79">
        <v>738.952404022216</v>
      </c>
      <c r="N79" s="3">
        <v>4.2204308132265699E-5</v>
      </c>
      <c r="O79" s="2">
        <v>45833.971932337961</v>
      </c>
      <c r="P79" s="2">
        <v>45833.973043425925</v>
      </c>
      <c r="Q79" s="1" t="s">
        <v>99</v>
      </c>
      <c r="R79" s="1" t="s">
        <v>103</v>
      </c>
      <c r="T79">
        <f t="shared" si="1"/>
        <v>-30.915069069069006</v>
      </c>
    </row>
    <row r="80" spans="1:20" x14ac:dyDescent="0.3">
      <c r="A80">
        <v>79</v>
      </c>
      <c r="B80">
        <v>2</v>
      </c>
      <c r="C80">
        <v>1750893575.56429</v>
      </c>
      <c r="D80">
        <v>1750893646.32583</v>
      </c>
      <c r="E80">
        <v>70.761543275632306</v>
      </c>
      <c r="F80">
        <v>1750892870</v>
      </c>
      <c r="G80">
        <v>1750892942</v>
      </c>
      <c r="H80">
        <v>72.048000000000002</v>
      </c>
      <c r="I80">
        <v>-1.2864567243676499</v>
      </c>
      <c r="J80">
        <v>1.2864567243676499</v>
      </c>
      <c r="K80">
        <v>1.8016397151900401</v>
      </c>
      <c r="L80">
        <v>704.32583498954705</v>
      </c>
      <c r="M80">
        <v>704.32583498954705</v>
      </c>
      <c r="N80" s="3">
        <v>4.0226656720749901E-5</v>
      </c>
      <c r="O80" s="2">
        <v>45833.97193939815</v>
      </c>
      <c r="P80" s="2">
        <v>45833.972758402779</v>
      </c>
      <c r="Q80" s="1" t="s">
        <v>100</v>
      </c>
      <c r="R80" s="1" t="s">
        <v>104</v>
      </c>
      <c r="T80">
        <f t="shared" si="1"/>
        <v>1.2864567243676959</v>
      </c>
    </row>
    <row r="81" spans="1:20" x14ac:dyDescent="0.3">
      <c r="A81">
        <v>80</v>
      </c>
      <c r="B81">
        <v>1</v>
      </c>
      <c r="C81">
        <v>1750893617.2178099</v>
      </c>
      <c r="D81">
        <v>1750893713.1233201</v>
      </c>
      <c r="E81">
        <v>95.905508982035897</v>
      </c>
      <c r="F81">
        <v>1750892897</v>
      </c>
      <c r="G81">
        <v>1750892962</v>
      </c>
      <c r="H81">
        <v>65.174999999999997</v>
      </c>
      <c r="I81">
        <v>30.7305089820359</v>
      </c>
      <c r="J81">
        <v>30.7305089820359</v>
      </c>
      <c r="K81">
        <v>38.155465457913401</v>
      </c>
      <c r="L81">
        <v>751.12332224845795</v>
      </c>
      <c r="M81">
        <v>751.12332224845795</v>
      </c>
      <c r="N81" s="3">
        <v>4.2899433456894202E-5</v>
      </c>
      <c r="O81" s="2">
        <v>45833.97242150463</v>
      </c>
      <c r="P81" s="2">
        <v>45833.973531516203</v>
      </c>
      <c r="Q81" s="1" t="s">
        <v>101</v>
      </c>
      <c r="R81" s="1" t="s">
        <v>105</v>
      </c>
      <c r="T81">
        <f t="shared" si="1"/>
        <v>-30.7305089820359</v>
      </c>
    </row>
    <row r="82" spans="1:20" x14ac:dyDescent="0.3">
      <c r="A82">
        <v>81</v>
      </c>
      <c r="B82">
        <v>2</v>
      </c>
      <c r="C82">
        <v>1750893646.32583</v>
      </c>
      <c r="D82">
        <v>1750893742.1396101</v>
      </c>
      <c r="E82">
        <v>95.813776119403002</v>
      </c>
      <c r="F82">
        <v>1750892908</v>
      </c>
      <c r="G82">
        <v>1750892971</v>
      </c>
      <c r="H82">
        <v>63.451000000000001</v>
      </c>
      <c r="I82">
        <v>32.362776119403001</v>
      </c>
      <c r="J82">
        <v>32.362776119403001</v>
      </c>
      <c r="K82">
        <v>40.640218016744797</v>
      </c>
      <c r="L82">
        <v>771.13961100578297</v>
      </c>
      <c r="M82">
        <v>771.13961100578297</v>
      </c>
      <c r="N82" s="3">
        <v>4.4042637326383498E-5</v>
      </c>
      <c r="O82" s="2">
        <v>45833.972758402779</v>
      </c>
      <c r="P82" s="2">
        <v>45833.973867361114</v>
      </c>
      <c r="Q82" s="1" t="s">
        <v>102</v>
      </c>
      <c r="R82" s="1" t="s">
        <v>106</v>
      </c>
      <c r="T82">
        <f t="shared" si="1"/>
        <v>-32.362776119403001</v>
      </c>
    </row>
    <row r="83" spans="1:20" x14ac:dyDescent="0.3">
      <c r="A83">
        <v>82</v>
      </c>
      <c r="B83">
        <v>3</v>
      </c>
      <c r="C83">
        <v>1750893670.9524</v>
      </c>
      <c r="D83">
        <v>1750893766.6698599</v>
      </c>
      <c r="E83">
        <v>95.717458333333298</v>
      </c>
      <c r="F83">
        <v>1750892932</v>
      </c>
      <c r="G83">
        <v>1750892994</v>
      </c>
      <c r="H83">
        <v>62.567999999999998</v>
      </c>
      <c r="I83">
        <v>33.1494583333333</v>
      </c>
      <c r="J83">
        <v>33.1494583333333</v>
      </c>
      <c r="K83">
        <v>41.885664902361299</v>
      </c>
      <c r="L83">
        <v>772.669862270355</v>
      </c>
      <c r="M83">
        <v>772.669862270355</v>
      </c>
      <c r="N83" s="3">
        <v>4.4130035040885801E-5</v>
      </c>
      <c r="O83" s="2">
        <v>45833.973043425925</v>
      </c>
      <c r="P83" s="2">
        <v>45833.974151273149</v>
      </c>
      <c r="Q83" s="1" t="s">
        <v>103</v>
      </c>
      <c r="R83" s="1" t="s">
        <v>107</v>
      </c>
      <c r="T83">
        <f t="shared" si="1"/>
        <v>-33.1494583333333</v>
      </c>
    </row>
    <row r="84" spans="1:20" x14ac:dyDescent="0.3">
      <c r="A84">
        <v>83</v>
      </c>
      <c r="B84">
        <v>1</v>
      </c>
      <c r="C84">
        <v>1750893713.1233201</v>
      </c>
      <c r="D84">
        <v>1750893808.7424099</v>
      </c>
      <c r="E84">
        <v>95.619091988130506</v>
      </c>
      <c r="F84">
        <v>1750892942</v>
      </c>
      <c r="G84">
        <v>1750893009</v>
      </c>
      <c r="H84">
        <v>67.245999999999995</v>
      </c>
      <c r="I84">
        <v>28.373091988130501</v>
      </c>
      <c r="J84">
        <v>28.373091988130501</v>
      </c>
      <c r="K84">
        <v>34.8424473799436</v>
      </c>
      <c r="L84">
        <v>799.74241423606804</v>
      </c>
      <c r="M84">
        <v>799.74241423606804</v>
      </c>
      <c r="N84" s="3">
        <v>4.5676247919149898E-5</v>
      </c>
      <c r="O84" s="2">
        <v>45833.973531516203</v>
      </c>
      <c r="P84" s="2">
        <v>45833.974638217594</v>
      </c>
      <c r="Q84" s="1" t="s">
        <v>104</v>
      </c>
      <c r="R84" s="1" t="s">
        <v>108</v>
      </c>
      <c r="T84">
        <f t="shared" si="1"/>
        <v>-28.373091988130511</v>
      </c>
    </row>
    <row r="85" spans="1:20" x14ac:dyDescent="0.3">
      <c r="A85">
        <v>84</v>
      </c>
      <c r="B85">
        <v>2</v>
      </c>
      <c r="C85">
        <v>1750893742.1396101</v>
      </c>
      <c r="D85">
        <v>1750893812.9028599</v>
      </c>
      <c r="E85">
        <v>70.763253989361502</v>
      </c>
      <c r="F85">
        <v>1750892962</v>
      </c>
      <c r="G85">
        <v>1750893027</v>
      </c>
      <c r="H85">
        <v>65.831000000000003</v>
      </c>
      <c r="I85">
        <v>4.9322539893615502</v>
      </c>
      <c r="J85">
        <v>4.9322539893615502</v>
      </c>
      <c r="K85">
        <v>7.2217591081769701</v>
      </c>
      <c r="L85">
        <v>785.90286493301301</v>
      </c>
      <c r="M85">
        <v>785.90286493301301</v>
      </c>
      <c r="N85" s="3">
        <v>4.4885819775073102E-5</v>
      </c>
      <c r="O85" s="2">
        <v>45833.973867361114</v>
      </c>
      <c r="P85" s="2">
        <v>45833.974686377318</v>
      </c>
      <c r="Q85" s="1" t="s">
        <v>105</v>
      </c>
      <c r="R85" s="1" t="s">
        <v>109</v>
      </c>
      <c r="T85">
        <f t="shared" si="1"/>
        <v>-4.9322539893614987</v>
      </c>
    </row>
    <row r="86" spans="1:20" x14ac:dyDescent="0.3">
      <c r="A86">
        <v>85</v>
      </c>
      <c r="B86">
        <v>3</v>
      </c>
      <c r="C86">
        <v>1750893766.6698599</v>
      </c>
      <c r="D86">
        <v>1750893837.4265599</v>
      </c>
      <c r="E86">
        <v>70.756703851261406</v>
      </c>
      <c r="F86">
        <v>1750892971</v>
      </c>
      <c r="G86">
        <v>1750893036</v>
      </c>
      <c r="H86">
        <v>64.524000000000001</v>
      </c>
      <c r="I86">
        <v>6.2327038512614701</v>
      </c>
      <c r="J86">
        <v>6.2327038512614701</v>
      </c>
      <c r="K86">
        <v>9.2144757882309793</v>
      </c>
      <c r="L86">
        <v>801.42656612396195</v>
      </c>
      <c r="M86">
        <v>801.42656612396195</v>
      </c>
      <c r="N86" s="3">
        <v>4.5772435336120297E-5</v>
      </c>
      <c r="O86" s="2">
        <v>45833.974151273149</v>
      </c>
      <c r="P86" s="2">
        <v>45833.974970219904</v>
      </c>
      <c r="Q86" s="1" t="s">
        <v>106</v>
      </c>
      <c r="R86" s="1" t="s">
        <v>110</v>
      </c>
      <c r="T86">
        <f t="shared" si="1"/>
        <v>-6.2327038512614052</v>
      </c>
    </row>
    <row r="87" spans="1:20" x14ac:dyDescent="0.3">
      <c r="A87">
        <v>86</v>
      </c>
      <c r="B87">
        <v>1</v>
      </c>
      <c r="C87">
        <v>1750893808.7424099</v>
      </c>
      <c r="D87">
        <v>1750893879.49085</v>
      </c>
      <c r="E87">
        <v>70.748437665782305</v>
      </c>
      <c r="F87">
        <v>1750892994</v>
      </c>
      <c r="G87">
        <v>1750893064</v>
      </c>
      <c r="H87">
        <v>69.525000000000006</v>
      </c>
      <c r="I87">
        <v>1.22343766578234</v>
      </c>
      <c r="J87">
        <v>1.22343766578234</v>
      </c>
      <c r="K87">
        <v>1.7443611365643099</v>
      </c>
      <c r="L87">
        <v>815.49085187911896</v>
      </c>
      <c r="M87">
        <v>815.49085187911896</v>
      </c>
      <c r="N87" s="3">
        <v>4.6575697781668798E-5</v>
      </c>
      <c r="O87" s="2">
        <v>45833.974638217594</v>
      </c>
      <c r="P87" s="2">
        <v>45833.975457071756</v>
      </c>
      <c r="Q87" s="1" t="s">
        <v>107</v>
      </c>
      <c r="R87" s="1" t="s">
        <v>111</v>
      </c>
      <c r="T87">
        <f t="shared" si="1"/>
        <v>-1.2234376657822992</v>
      </c>
    </row>
    <row r="88" spans="1:20" x14ac:dyDescent="0.3">
      <c r="A88">
        <v>87</v>
      </c>
      <c r="B88">
        <v>2</v>
      </c>
      <c r="C88">
        <v>1750893812.9028599</v>
      </c>
      <c r="D88">
        <v>1750893883.6496799</v>
      </c>
      <c r="E88">
        <v>70.746817218542901</v>
      </c>
      <c r="F88">
        <v>1750893009</v>
      </c>
      <c r="G88">
        <v>1750893075</v>
      </c>
      <c r="H88">
        <v>66.400000000000006</v>
      </c>
      <c r="I88">
        <v>4.3468172185428902</v>
      </c>
      <c r="J88">
        <v>4.3468172185428902</v>
      </c>
      <c r="K88">
        <v>6.3389254037390597</v>
      </c>
      <c r="L88">
        <v>808.649682044982</v>
      </c>
      <c r="M88">
        <v>808.649682044982</v>
      </c>
      <c r="N88" s="3">
        <v>4.6184973077677101E-5</v>
      </c>
      <c r="O88" s="2">
        <v>45833.974686377318</v>
      </c>
      <c r="P88" s="2">
        <v>45833.975505208335</v>
      </c>
      <c r="Q88" s="1" t="s">
        <v>108</v>
      </c>
      <c r="R88" s="1" t="s">
        <v>112</v>
      </c>
      <c r="T88">
        <f t="shared" si="1"/>
        <v>-4.3468172185428955</v>
      </c>
    </row>
    <row r="89" spans="1:20" x14ac:dyDescent="0.3">
      <c r="A89">
        <v>88</v>
      </c>
      <c r="B89">
        <v>3</v>
      </c>
      <c r="C89">
        <v>1750893837.4265599</v>
      </c>
      <c r="D89">
        <v>1750893908.16763</v>
      </c>
      <c r="E89">
        <v>70.741067460317296</v>
      </c>
      <c r="F89">
        <v>1750893027</v>
      </c>
      <c r="G89">
        <v>1750893094</v>
      </c>
      <c r="H89">
        <v>66.141999999999996</v>
      </c>
      <c r="I89">
        <v>4.5990674603173103</v>
      </c>
      <c r="J89">
        <v>4.5990674603173103</v>
      </c>
      <c r="K89">
        <v>6.7197025105396504</v>
      </c>
      <c r="L89">
        <v>814.16763353347699</v>
      </c>
      <c r="M89">
        <v>814.16763353347699</v>
      </c>
      <c r="N89" s="3">
        <v>4.6500123110257799E-5</v>
      </c>
      <c r="O89" s="2">
        <v>45833.974970219904</v>
      </c>
      <c r="P89" s="2">
        <v>45833.975788981479</v>
      </c>
      <c r="Q89" s="1" t="s">
        <v>109</v>
      </c>
      <c r="R89" s="1" t="s">
        <v>113</v>
      </c>
      <c r="T89">
        <f t="shared" si="1"/>
        <v>-4.5990674603173005</v>
      </c>
    </row>
    <row r="90" spans="1:20" x14ac:dyDescent="0.3">
      <c r="A90">
        <v>89</v>
      </c>
      <c r="B90">
        <v>1</v>
      </c>
      <c r="C90">
        <v>1750893879.49085</v>
      </c>
      <c r="D90">
        <v>1750893940.2151501</v>
      </c>
      <c r="E90">
        <v>60.724301834352303</v>
      </c>
      <c r="F90">
        <v>1750893036</v>
      </c>
      <c r="G90">
        <v>1750893086</v>
      </c>
      <c r="H90">
        <v>50.814999999999998</v>
      </c>
      <c r="I90">
        <v>9.9093018343523909</v>
      </c>
      <c r="J90">
        <v>9.9093018343523909</v>
      </c>
      <c r="K90">
        <v>17.7682694285979</v>
      </c>
      <c r="L90">
        <v>854.21515369415204</v>
      </c>
      <c r="M90">
        <v>854.21515369415204</v>
      </c>
      <c r="N90" s="3">
        <v>4.8787384686693299E-5</v>
      </c>
      <c r="O90" s="2">
        <v>45833.975457071756</v>
      </c>
      <c r="P90" s="2">
        <v>45833.976159895836</v>
      </c>
      <c r="Q90" s="1" t="s">
        <v>110</v>
      </c>
      <c r="R90" s="1" t="s">
        <v>114</v>
      </c>
      <c r="T90">
        <f t="shared" si="1"/>
        <v>-9.9093018343523056</v>
      </c>
    </row>
    <row r="91" spans="1:20" x14ac:dyDescent="0.3">
      <c r="A91">
        <v>90</v>
      </c>
      <c r="B91">
        <v>2</v>
      </c>
      <c r="C91">
        <v>1750893883.6496799</v>
      </c>
      <c r="D91">
        <v>1750893944.36847</v>
      </c>
      <c r="E91">
        <v>60.718796666666599</v>
      </c>
      <c r="F91">
        <v>1750893064</v>
      </c>
      <c r="G91">
        <v>1750893112</v>
      </c>
      <c r="H91">
        <v>48.564</v>
      </c>
      <c r="I91">
        <v>12.1547966666666</v>
      </c>
      <c r="J91">
        <v>12.1547966666666</v>
      </c>
      <c r="K91">
        <v>22.2446662007398</v>
      </c>
      <c r="L91">
        <v>832.36847877502396</v>
      </c>
      <c r="M91">
        <v>832.36847877502396</v>
      </c>
      <c r="N91" s="3">
        <v>4.7539639925348802E-5</v>
      </c>
      <c r="O91" s="2">
        <v>45833.975505208335</v>
      </c>
      <c r="P91" s="2">
        <v>45833.976207962965</v>
      </c>
      <c r="Q91" s="1" t="s">
        <v>111</v>
      </c>
      <c r="R91" s="1" t="s">
        <v>115</v>
      </c>
      <c r="T91">
        <f t="shared" si="1"/>
        <v>-12.154796666666599</v>
      </c>
    </row>
    <row r="92" spans="1:20" x14ac:dyDescent="0.3">
      <c r="A92">
        <v>91</v>
      </c>
      <c r="B92">
        <v>3</v>
      </c>
      <c r="C92">
        <v>1750893908.16763</v>
      </c>
      <c r="D92">
        <v>1750893968.8796799</v>
      </c>
      <c r="E92">
        <v>60.712047751249202</v>
      </c>
      <c r="F92">
        <v>1750893075</v>
      </c>
      <c r="G92">
        <v>1750893126</v>
      </c>
      <c r="H92">
        <v>51.581000000000003</v>
      </c>
      <c r="I92">
        <v>9.1310477512492696</v>
      </c>
      <c r="J92">
        <v>9.1310477512492696</v>
      </c>
      <c r="K92">
        <v>16.262890595820799</v>
      </c>
      <c r="L92">
        <v>842.87968134879998</v>
      </c>
      <c r="M92">
        <v>842.87968134879998</v>
      </c>
      <c r="N92" s="3">
        <v>4.8139973020133603E-5</v>
      </c>
      <c r="O92" s="2">
        <v>45833.975788981479</v>
      </c>
      <c r="P92" s="2">
        <v>45833.976491666668</v>
      </c>
      <c r="Q92" s="1" t="s">
        <v>112</v>
      </c>
      <c r="R92" s="1" t="s">
        <v>116</v>
      </c>
      <c r="T92">
        <f t="shared" si="1"/>
        <v>-9.1310477512491985</v>
      </c>
    </row>
    <row r="93" spans="1:20" x14ac:dyDescent="0.3">
      <c r="A93">
        <v>92</v>
      </c>
      <c r="B93">
        <v>1</v>
      </c>
      <c r="C93">
        <v>1750893940.2151501</v>
      </c>
      <c r="D93">
        <v>1750893972.4621601</v>
      </c>
      <c r="E93">
        <v>32.2470124610591</v>
      </c>
      <c r="F93">
        <v>1750893086</v>
      </c>
      <c r="G93">
        <v>1750893130</v>
      </c>
      <c r="H93">
        <v>44.076999999999998</v>
      </c>
      <c r="I93">
        <v>-11.8299875389408</v>
      </c>
      <c r="J93">
        <v>11.8299875389408</v>
      </c>
      <c r="K93">
        <v>30.999385796118901</v>
      </c>
      <c r="L93">
        <v>842.462166070938</v>
      </c>
      <c r="M93">
        <v>842.462166070938</v>
      </c>
      <c r="N93" s="3">
        <v>4.8116127075720197E-5</v>
      </c>
      <c r="O93" s="2">
        <v>45833.976159895836</v>
      </c>
      <c r="P93" s="2">
        <v>45833.976533125002</v>
      </c>
      <c r="Q93" s="1" t="s">
        <v>114</v>
      </c>
      <c r="R93" s="1" t="s">
        <v>117</v>
      </c>
      <c r="T93">
        <f t="shared" si="1"/>
        <v>11.829987538940898</v>
      </c>
    </row>
    <row r="94" spans="1:20" x14ac:dyDescent="0.3">
      <c r="A94">
        <v>93</v>
      </c>
      <c r="B94">
        <v>2</v>
      </c>
      <c r="C94">
        <v>1750893944.36847</v>
      </c>
      <c r="D94">
        <v>1750894005.0754499</v>
      </c>
      <c r="E94">
        <v>60.706980577136399</v>
      </c>
      <c r="F94">
        <v>1750893094</v>
      </c>
      <c r="G94">
        <v>1750893138</v>
      </c>
      <c r="H94">
        <v>44.218000000000004</v>
      </c>
      <c r="I94">
        <v>16.488980577136399</v>
      </c>
      <c r="J94">
        <v>16.488980577136399</v>
      </c>
      <c r="K94">
        <v>31.4300378926722</v>
      </c>
      <c r="L94">
        <v>867.07545924186695</v>
      </c>
      <c r="M94">
        <v>867.07545924186695</v>
      </c>
      <c r="N94" s="3">
        <v>4.9521882616791701E-5</v>
      </c>
      <c r="O94" s="2">
        <v>45833.976207962965</v>
      </c>
      <c r="P94" s="2">
        <v>45833.976910590274</v>
      </c>
      <c r="Q94" s="1" t="s">
        <v>113</v>
      </c>
      <c r="R94" s="1" t="s">
        <v>118</v>
      </c>
      <c r="T94">
        <f t="shared" si="1"/>
        <v>-16.488980577136395</v>
      </c>
    </row>
    <row r="95" spans="1:20" x14ac:dyDescent="0.3">
      <c r="A95">
        <v>94</v>
      </c>
      <c r="B95">
        <v>3</v>
      </c>
      <c r="C95">
        <v>1750893968.8796799</v>
      </c>
      <c r="D95">
        <v>1750894013.4001</v>
      </c>
      <c r="E95">
        <v>44.520419920318702</v>
      </c>
      <c r="F95">
        <v>1750893112</v>
      </c>
      <c r="G95">
        <v>1750893205</v>
      </c>
      <c r="H95">
        <v>92.513000000000005</v>
      </c>
      <c r="I95">
        <v>-47.992580079681197</v>
      </c>
      <c r="J95">
        <v>47.992580079681197</v>
      </c>
      <c r="K95">
        <v>70.045073833211802</v>
      </c>
      <c r="L95">
        <v>808.40010118484497</v>
      </c>
      <c r="M95">
        <v>808.40010118484497</v>
      </c>
      <c r="N95" s="3">
        <v>4.6170715167221803E-5</v>
      </c>
      <c r="O95" s="2">
        <v>45833.976491666668</v>
      </c>
      <c r="P95" s="2">
        <v>45833.977006944442</v>
      </c>
      <c r="Q95" s="1" t="s">
        <v>115</v>
      </c>
      <c r="R95" s="1" t="s">
        <v>119</v>
      </c>
      <c r="T95">
        <f t="shared" si="1"/>
        <v>47.992580079681304</v>
      </c>
    </row>
    <row r="96" spans="1:20" x14ac:dyDescent="0.3">
      <c r="A96">
        <v>95</v>
      </c>
      <c r="B96">
        <v>1</v>
      </c>
      <c r="C96">
        <v>1750893972.4621601</v>
      </c>
      <c r="D96">
        <v>1750894004.7214501</v>
      </c>
      <c r="E96">
        <v>32.259284232365097</v>
      </c>
      <c r="F96">
        <v>1750893126</v>
      </c>
      <c r="G96">
        <v>1750893179</v>
      </c>
      <c r="H96">
        <v>53.137</v>
      </c>
      <c r="I96">
        <v>-20.8777157676348</v>
      </c>
      <c r="J96">
        <v>20.8777157676348</v>
      </c>
      <c r="K96">
        <v>48.896075409618902</v>
      </c>
      <c r="L96">
        <v>825.72145032882599</v>
      </c>
      <c r="M96">
        <v>825.72145032882599</v>
      </c>
      <c r="N96" s="3">
        <v>4.7160001850901101E-5</v>
      </c>
      <c r="O96" s="2">
        <v>45833.976533125002</v>
      </c>
      <c r="P96" s="2">
        <v>45833.976906493059</v>
      </c>
      <c r="Q96" s="1" t="s">
        <v>116</v>
      </c>
      <c r="R96" s="1" t="s">
        <v>120</v>
      </c>
      <c r="T96">
        <f t="shared" si="1"/>
        <v>20.877715767634903</v>
      </c>
    </row>
    <row r="97" spans="1:20" x14ac:dyDescent="0.3">
      <c r="A97">
        <v>96</v>
      </c>
      <c r="B97">
        <v>1</v>
      </c>
      <c r="C97">
        <v>1750894004.7214501</v>
      </c>
      <c r="D97">
        <v>1750894065.4192801</v>
      </c>
      <c r="E97">
        <v>60.697835274542399</v>
      </c>
      <c r="F97">
        <v>1750893130</v>
      </c>
      <c r="G97">
        <v>1750893191</v>
      </c>
      <c r="H97">
        <v>60.161999999999999</v>
      </c>
      <c r="I97">
        <v>0.53583527454239999</v>
      </c>
      <c r="J97">
        <v>0.53583527454239999</v>
      </c>
      <c r="K97">
        <v>0.88670528687253103</v>
      </c>
      <c r="L97">
        <v>874.41928553581204</v>
      </c>
      <c r="M97">
        <v>874.41928553581204</v>
      </c>
      <c r="N97" s="3">
        <v>4.9941314049439999E-5</v>
      </c>
      <c r="O97" s="2">
        <v>45833.976906493059</v>
      </c>
      <c r="P97" s="2">
        <v>45833.977609016205</v>
      </c>
      <c r="Q97" s="1" t="s">
        <v>117</v>
      </c>
      <c r="R97" s="1" t="s">
        <v>121</v>
      </c>
      <c r="T97">
        <f t="shared" si="1"/>
        <v>-0.53583527454239999</v>
      </c>
    </row>
    <row r="98" spans="1:20" x14ac:dyDescent="0.3">
      <c r="A98">
        <v>97</v>
      </c>
      <c r="B98">
        <v>2</v>
      </c>
      <c r="C98">
        <v>1750894005.0754499</v>
      </c>
      <c r="D98">
        <v>1750894065.77299</v>
      </c>
      <c r="E98">
        <v>60.697538248336997</v>
      </c>
      <c r="F98">
        <v>1750893138</v>
      </c>
      <c r="G98">
        <v>1750893191</v>
      </c>
      <c r="H98">
        <v>53.561999999999998</v>
      </c>
      <c r="I98">
        <v>7.1355382483369896</v>
      </c>
      <c r="J98">
        <v>7.1355382483369896</v>
      </c>
      <c r="K98">
        <v>12.4900526603359</v>
      </c>
      <c r="L98">
        <v>874.77299737930298</v>
      </c>
      <c r="M98">
        <v>874.77299737930298</v>
      </c>
      <c r="N98" s="3">
        <v>4.9961515833799203E-5</v>
      </c>
      <c r="O98" s="2">
        <v>45833.976910590274</v>
      </c>
      <c r="P98" s="2">
        <v>45833.977613113428</v>
      </c>
      <c r="Q98" s="1" t="s">
        <v>118</v>
      </c>
      <c r="R98" s="1" t="s">
        <v>121</v>
      </c>
      <c r="T98">
        <f t="shared" si="1"/>
        <v>-7.1355382483369993</v>
      </c>
    </row>
    <row r="99" spans="1:20" x14ac:dyDescent="0.3">
      <c r="A99">
        <v>98</v>
      </c>
      <c r="B99">
        <v>3</v>
      </c>
      <c r="C99">
        <v>1750894013.4001</v>
      </c>
      <c r="D99">
        <v>1750894057.1097701</v>
      </c>
      <c r="E99">
        <v>43.709672697368397</v>
      </c>
      <c r="F99">
        <v>1750893179</v>
      </c>
      <c r="G99">
        <v>1750893216</v>
      </c>
      <c r="H99">
        <v>36.613</v>
      </c>
      <c r="I99">
        <v>7.0966726973684402</v>
      </c>
      <c r="J99">
        <v>7.0966726973684402</v>
      </c>
      <c r="K99">
        <v>17.670409758665599</v>
      </c>
      <c r="L99">
        <v>841.10977387428204</v>
      </c>
      <c r="M99">
        <v>841.10977387428204</v>
      </c>
      <c r="N99" s="3">
        <v>4.8038884619472099E-5</v>
      </c>
      <c r="O99" s="2">
        <v>45833.977006944442</v>
      </c>
      <c r="P99" s="2">
        <v>45833.977512847225</v>
      </c>
      <c r="Q99" s="1" t="s">
        <v>120</v>
      </c>
      <c r="R99" s="1" t="s">
        <v>122</v>
      </c>
      <c r="T99">
        <f t="shared" si="1"/>
        <v>-7.0966726973683976</v>
      </c>
    </row>
    <row r="100" spans="1:20" x14ac:dyDescent="0.3">
      <c r="A100">
        <v>99</v>
      </c>
      <c r="B100">
        <v>3</v>
      </c>
      <c r="C100">
        <v>1750894057.1097701</v>
      </c>
      <c r="D100">
        <v>1750894117.80335</v>
      </c>
      <c r="E100">
        <v>60.693585041551202</v>
      </c>
      <c r="F100">
        <v>1750893191</v>
      </c>
      <c r="G100">
        <v>1750893248</v>
      </c>
      <c r="H100">
        <v>56.250999999999998</v>
      </c>
      <c r="I100">
        <v>4.4425850415512098</v>
      </c>
      <c r="J100">
        <v>4.4425850415512098</v>
      </c>
      <c r="K100">
        <v>7.5977610078700701</v>
      </c>
      <c r="L100">
        <v>869.80335903167702</v>
      </c>
      <c r="M100">
        <v>869.80335903167702</v>
      </c>
      <c r="N100" s="3">
        <v>4.9677679891459198E-5</v>
      </c>
      <c r="O100" s="2">
        <v>45833.977512847225</v>
      </c>
      <c r="P100" s="2">
        <v>45833.978215312498</v>
      </c>
      <c r="Q100" s="1" t="s">
        <v>121</v>
      </c>
      <c r="R100" s="1" t="s">
        <v>123</v>
      </c>
      <c r="T100">
        <f t="shared" si="1"/>
        <v>-4.4425850415512045</v>
      </c>
    </row>
    <row r="101" spans="1:20" x14ac:dyDescent="0.3">
      <c r="A101">
        <v>100</v>
      </c>
      <c r="B101">
        <v>1</v>
      </c>
      <c r="C101">
        <v>1750894065.4192801</v>
      </c>
      <c r="D101">
        <v>1750894109.1173</v>
      </c>
      <c r="E101">
        <v>43.698019704433499</v>
      </c>
      <c r="F101">
        <v>1750893191</v>
      </c>
      <c r="G101">
        <v>1750893256</v>
      </c>
      <c r="H101">
        <v>64.728999999999999</v>
      </c>
      <c r="I101">
        <v>-21.030980295566401</v>
      </c>
      <c r="J101">
        <v>21.030980295566401</v>
      </c>
      <c r="K101">
        <v>38.792877186693502</v>
      </c>
      <c r="L101">
        <v>853.11730527877796</v>
      </c>
      <c r="M101">
        <v>853.11730527877796</v>
      </c>
      <c r="N101" s="3">
        <v>4.8724677790377402E-5</v>
      </c>
      <c r="O101" s="2">
        <v>45833.977609016205</v>
      </c>
      <c r="P101" s="2">
        <v>45833.97811478009</v>
      </c>
      <c r="Q101" s="1" t="s">
        <v>121</v>
      </c>
      <c r="R101" s="1" t="s">
        <v>124</v>
      </c>
      <c r="T101">
        <f t="shared" si="1"/>
        <v>21.030980295566501</v>
      </c>
    </row>
    <row r="102" spans="1:20" x14ac:dyDescent="0.3">
      <c r="A102">
        <v>101</v>
      </c>
      <c r="B102">
        <v>2</v>
      </c>
      <c r="C102">
        <v>1750894065.77299</v>
      </c>
      <c r="D102">
        <v>1750894110.33162</v>
      </c>
      <c r="E102">
        <v>44.558630573248401</v>
      </c>
      <c r="F102">
        <v>1750893205</v>
      </c>
      <c r="G102">
        <v>1750893292</v>
      </c>
      <c r="H102">
        <v>87.561999999999998</v>
      </c>
      <c r="I102">
        <v>-43.003369426751497</v>
      </c>
      <c r="J102">
        <v>43.003369426751497</v>
      </c>
      <c r="K102">
        <v>65.097130160774199</v>
      </c>
      <c r="L102">
        <v>818.33162784576405</v>
      </c>
      <c r="M102">
        <v>818.33162784576405</v>
      </c>
      <c r="N102" s="3">
        <v>4.67379388766369E-5</v>
      </c>
      <c r="O102" s="2">
        <v>45833.977613113428</v>
      </c>
      <c r="P102" s="2">
        <v>45833.978128842595</v>
      </c>
      <c r="Q102" s="1" t="s">
        <v>119</v>
      </c>
      <c r="R102" s="1" t="s">
        <v>125</v>
      </c>
      <c r="T102">
        <f t="shared" si="1"/>
        <v>43.003369426751597</v>
      </c>
    </row>
    <row r="103" spans="1:20" x14ac:dyDescent="0.3">
      <c r="A103">
        <v>102</v>
      </c>
      <c r="B103">
        <v>1</v>
      </c>
      <c r="C103">
        <v>1750894109.1173</v>
      </c>
      <c r="D103">
        <v>1750894169.80843</v>
      </c>
      <c r="E103">
        <v>60.691125138427402</v>
      </c>
      <c r="F103">
        <v>1750893216</v>
      </c>
      <c r="G103">
        <v>1750893280</v>
      </c>
      <c r="H103">
        <v>64.647000000000006</v>
      </c>
      <c r="I103">
        <v>-3.9558748615725698</v>
      </c>
      <c r="J103">
        <v>3.9558748615725698</v>
      </c>
      <c r="K103">
        <v>6.3123249325830804</v>
      </c>
      <c r="L103">
        <v>889.80843043327297</v>
      </c>
      <c r="M103">
        <v>889.80843043327297</v>
      </c>
      <c r="N103" s="3">
        <v>5.0820242129884303E-5</v>
      </c>
      <c r="O103" s="2">
        <v>45833.97811478009</v>
      </c>
      <c r="P103" s="2">
        <v>45833.978817222225</v>
      </c>
      <c r="Q103" s="1" t="s">
        <v>122</v>
      </c>
      <c r="R103" s="1" t="s">
        <v>126</v>
      </c>
      <c r="T103">
        <f t="shared" si="1"/>
        <v>3.9558748615726032</v>
      </c>
    </row>
    <row r="104" spans="1:20" x14ac:dyDescent="0.3">
      <c r="A104">
        <v>103</v>
      </c>
      <c r="B104">
        <v>2</v>
      </c>
      <c r="C104">
        <v>1750894110.33162</v>
      </c>
      <c r="D104">
        <v>1750894159.9792399</v>
      </c>
      <c r="E104">
        <v>49.647613937282102</v>
      </c>
      <c r="F104">
        <v>1750893247</v>
      </c>
      <c r="G104">
        <v>1750893299</v>
      </c>
      <c r="H104">
        <v>51.741</v>
      </c>
      <c r="I104">
        <v>-2.0933860627178702</v>
      </c>
      <c r="J104">
        <v>2.0933860627178702</v>
      </c>
      <c r="K104">
        <v>4.1294302810231098</v>
      </c>
      <c r="L104">
        <v>860.97924184799194</v>
      </c>
      <c r="M104">
        <v>860.97924184799194</v>
      </c>
      <c r="N104" s="3">
        <v>4.9173700684790501E-5</v>
      </c>
      <c r="O104" s="2">
        <v>45833.978128842595</v>
      </c>
      <c r="P104" s="2">
        <v>45833.978703460649</v>
      </c>
      <c r="Q104" s="1" t="s">
        <v>127</v>
      </c>
      <c r="R104" s="1" t="s">
        <v>128</v>
      </c>
      <c r="T104">
        <f t="shared" si="1"/>
        <v>2.0933860627178973</v>
      </c>
    </row>
    <row r="105" spans="1:20" x14ac:dyDescent="0.3">
      <c r="A105">
        <v>104</v>
      </c>
      <c r="B105">
        <v>3</v>
      </c>
      <c r="C105">
        <v>1750894117.80335</v>
      </c>
      <c r="D105">
        <v>1750894178.49667</v>
      </c>
      <c r="E105">
        <v>60.693314333148798</v>
      </c>
      <c r="F105">
        <v>1750893256</v>
      </c>
      <c r="G105">
        <v>1750893302</v>
      </c>
      <c r="H105">
        <v>45.908999999999999</v>
      </c>
      <c r="I105">
        <v>14.784314333148799</v>
      </c>
      <c r="J105">
        <v>14.784314333148799</v>
      </c>
      <c r="K105">
        <v>27.737323388581501</v>
      </c>
      <c r="L105">
        <v>876.496673345565</v>
      </c>
      <c r="M105">
        <v>876.496673345565</v>
      </c>
      <c r="N105" s="3">
        <v>5.0059958134366697E-5</v>
      </c>
      <c r="O105" s="2">
        <v>45833.978215312498</v>
      </c>
      <c r="P105" s="2">
        <v>45833.978917789354</v>
      </c>
      <c r="Q105" s="1" t="s">
        <v>124</v>
      </c>
      <c r="R105" s="1" t="s">
        <v>129</v>
      </c>
      <c r="T105">
        <f t="shared" si="1"/>
        <v>-14.784314333148799</v>
      </c>
    </row>
    <row r="106" spans="1:20" x14ac:dyDescent="0.3">
      <c r="A106">
        <v>105</v>
      </c>
      <c r="B106">
        <v>2</v>
      </c>
      <c r="C106">
        <v>1750894159.9792399</v>
      </c>
      <c r="D106">
        <v>1750894213.53391</v>
      </c>
      <c r="E106">
        <v>53.554676767676703</v>
      </c>
      <c r="F106">
        <v>1750893280</v>
      </c>
      <c r="G106">
        <v>1750893367</v>
      </c>
      <c r="H106">
        <v>86.063000000000002</v>
      </c>
      <c r="I106">
        <v>-32.508323232323299</v>
      </c>
      <c r="J106">
        <v>32.508323232323299</v>
      </c>
      <c r="K106">
        <v>46.567632387146801</v>
      </c>
      <c r="L106">
        <v>846.53391861915497</v>
      </c>
      <c r="M106">
        <v>846.53391861915497</v>
      </c>
      <c r="N106" s="3">
        <v>4.8348673307595901E-5</v>
      </c>
      <c r="O106" s="2">
        <v>45833.978703460649</v>
      </c>
      <c r="P106" s="2">
        <v>45833.979323310188</v>
      </c>
      <c r="Q106" s="1" t="s">
        <v>126</v>
      </c>
      <c r="R106" s="1" t="s">
        <v>130</v>
      </c>
      <c r="T106">
        <f t="shared" si="1"/>
        <v>32.508323232323299</v>
      </c>
    </row>
    <row r="107" spans="1:20" x14ac:dyDescent="0.3">
      <c r="A107">
        <v>106</v>
      </c>
      <c r="B107">
        <v>1</v>
      </c>
      <c r="C107">
        <v>1750894169.80843</v>
      </c>
      <c r="D107">
        <v>1750894219.4575</v>
      </c>
      <c r="E107">
        <v>49.649071727019297</v>
      </c>
      <c r="F107">
        <v>1750893292</v>
      </c>
      <c r="G107">
        <v>1750893385</v>
      </c>
      <c r="H107">
        <v>92.6</v>
      </c>
      <c r="I107">
        <v>-42.950928272980597</v>
      </c>
      <c r="J107">
        <v>42.950928272980597</v>
      </c>
      <c r="K107">
        <v>60.388342435590403</v>
      </c>
      <c r="L107">
        <v>834.45750212669304</v>
      </c>
      <c r="M107">
        <v>834.45750212669304</v>
      </c>
      <c r="N107" s="3">
        <v>4.7658944309728797E-5</v>
      </c>
      <c r="O107" s="2">
        <v>45833.978817222225</v>
      </c>
      <c r="P107" s="2">
        <v>45833.979391875</v>
      </c>
      <c r="Q107" s="1" t="s">
        <v>125</v>
      </c>
      <c r="R107" s="1" t="s">
        <v>131</v>
      </c>
      <c r="T107">
        <f t="shared" si="1"/>
        <v>42.950928272980697</v>
      </c>
    </row>
    <row r="108" spans="1:20" x14ac:dyDescent="0.3">
      <c r="A108">
        <v>107</v>
      </c>
      <c r="B108">
        <v>3</v>
      </c>
      <c r="C108">
        <v>1750894178.49667</v>
      </c>
      <c r="D108">
        <v>1750894232.8792</v>
      </c>
      <c r="E108">
        <v>54.382535796766703</v>
      </c>
      <c r="F108">
        <v>1750893299</v>
      </c>
      <c r="G108">
        <v>1750893392</v>
      </c>
      <c r="H108">
        <v>92.376000000000005</v>
      </c>
      <c r="I108">
        <v>-37.993464203233202</v>
      </c>
      <c r="J108">
        <v>37.993464203233202</v>
      </c>
      <c r="K108">
        <v>51.776837370259798</v>
      </c>
      <c r="L108">
        <v>840.879209041595</v>
      </c>
      <c r="M108">
        <v>840.879209041595</v>
      </c>
      <c r="N108" s="3">
        <v>4.8025711386229501E-5</v>
      </c>
      <c r="O108" s="2">
        <v>45833.978917789354</v>
      </c>
      <c r="P108" s="2">
        <v>45833.979547210649</v>
      </c>
      <c r="Q108" s="1" t="s">
        <v>128</v>
      </c>
      <c r="R108" s="1" t="s">
        <v>132</v>
      </c>
      <c r="T108">
        <f t="shared" si="1"/>
        <v>37.993464203233302</v>
      </c>
    </row>
    <row r="109" spans="1:20" x14ac:dyDescent="0.3">
      <c r="A109">
        <v>108</v>
      </c>
      <c r="B109">
        <v>2</v>
      </c>
      <c r="C109">
        <v>1750894213.53391</v>
      </c>
      <c r="D109">
        <v>1750894274.2190499</v>
      </c>
      <c r="E109">
        <v>60.685137168141502</v>
      </c>
      <c r="F109">
        <v>1750893302</v>
      </c>
      <c r="G109">
        <v>1750893336</v>
      </c>
      <c r="H109">
        <v>34.067</v>
      </c>
      <c r="I109">
        <v>26.618137168141502</v>
      </c>
      <c r="J109">
        <v>26.618137168141502</v>
      </c>
      <c r="K109">
        <v>56.184774219723501</v>
      </c>
      <c r="L109">
        <v>938.21905589103699</v>
      </c>
      <c r="M109">
        <v>938.21905589103699</v>
      </c>
      <c r="N109" s="3">
        <v>5.3585149090886497E-5</v>
      </c>
      <c r="O109" s="2">
        <v>45833.979323310188</v>
      </c>
      <c r="P109" s="2">
        <v>45833.980025682868</v>
      </c>
      <c r="Q109" s="1" t="s">
        <v>129</v>
      </c>
      <c r="R109" s="1" t="s">
        <v>133</v>
      </c>
      <c r="T109">
        <f t="shared" si="1"/>
        <v>-26.618137168141502</v>
      </c>
    </row>
    <row r="110" spans="1:20" x14ac:dyDescent="0.3">
      <c r="A110">
        <v>109</v>
      </c>
      <c r="B110">
        <v>1</v>
      </c>
      <c r="C110">
        <v>1750894219.4575</v>
      </c>
      <c r="D110">
        <v>1750894251.73842</v>
      </c>
      <c r="E110">
        <v>32.280919170984397</v>
      </c>
      <c r="F110">
        <v>1750893336</v>
      </c>
      <c r="G110">
        <v>1750893380</v>
      </c>
      <c r="H110">
        <v>43.692</v>
      </c>
      <c r="I110">
        <v>-11.4110808290155</v>
      </c>
      <c r="J110">
        <v>11.4110808290155</v>
      </c>
      <c r="K110">
        <v>30.039864081920602</v>
      </c>
      <c r="L110">
        <v>871.73842120170502</v>
      </c>
      <c r="M110">
        <v>871.73842120170502</v>
      </c>
      <c r="N110" s="3">
        <v>4.97881946523948E-5</v>
      </c>
      <c r="O110" s="2">
        <v>45833.979391875</v>
      </c>
      <c r="P110" s="2">
        <v>45833.97976548611</v>
      </c>
      <c r="Q110" s="1" t="s">
        <v>133</v>
      </c>
      <c r="R110" s="1" t="s">
        <v>134</v>
      </c>
      <c r="T110">
        <f t="shared" si="1"/>
        <v>11.411080829015603</v>
      </c>
    </row>
    <row r="111" spans="1:20" x14ac:dyDescent="0.3">
      <c r="A111">
        <v>110</v>
      </c>
      <c r="B111">
        <v>3</v>
      </c>
      <c r="C111">
        <v>1750894232.8792</v>
      </c>
      <c r="D111">
        <v>1750894265.1719401</v>
      </c>
      <c r="E111">
        <v>32.292731884057901</v>
      </c>
      <c r="F111">
        <v>1750893367</v>
      </c>
      <c r="G111">
        <v>1750893416</v>
      </c>
      <c r="H111">
        <v>48.698999999999998</v>
      </c>
      <c r="I111">
        <v>-16.406268115942002</v>
      </c>
      <c r="J111">
        <v>16.406268115942002</v>
      </c>
      <c r="K111">
        <v>40.513439419786899</v>
      </c>
      <c r="L111">
        <v>849.17194104194596</v>
      </c>
      <c r="M111">
        <v>849.17194104194596</v>
      </c>
      <c r="N111" s="3">
        <v>4.8499339100864797E-5</v>
      </c>
      <c r="O111" s="2">
        <v>45833.979547210649</v>
      </c>
      <c r="P111" s="2">
        <v>45833.979920972219</v>
      </c>
      <c r="Q111" s="1" t="s">
        <v>130</v>
      </c>
      <c r="R111" s="1" t="s">
        <v>135</v>
      </c>
      <c r="T111">
        <f t="shared" si="1"/>
        <v>16.406268115942098</v>
      </c>
    </row>
    <row r="112" spans="1:20" x14ac:dyDescent="0.3">
      <c r="A112">
        <v>111</v>
      </c>
      <c r="B112">
        <v>1</v>
      </c>
      <c r="C112">
        <v>1750894251.73842</v>
      </c>
      <c r="D112">
        <v>1750894306.2084899</v>
      </c>
      <c r="E112">
        <v>54.470078341013803</v>
      </c>
      <c r="F112">
        <v>1750893380</v>
      </c>
      <c r="G112">
        <v>1750893458</v>
      </c>
      <c r="H112">
        <v>78.587000000000003</v>
      </c>
      <c r="I112">
        <v>-24.116921658986101</v>
      </c>
      <c r="J112">
        <v>24.116921658986101</v>
      </c>
      <c r="K112">
        <v>36.250490330437799</v>
      </c>
      <c r="L112">
        <v>848.20849943160999</v>
      </c>
      <c r="M112">
        <v>848.20849943160999</v>
      </c>
      <c r="N112" s="3">
        <v>4.8444312251078298E-5</v>
      </c>
      <c r="O112" s="2">
        <v>45833.97976548611</v>
      </c>
      <c r="P112" s="2">
        <v>45833.980395925922</v>
      </c>
      <c r="Q112" s="1" t="s">
        <v>134</v>
      </c>
      <c r="R112" s="1" t="s">
        <v>136</v>
      </c>
      <c r="T112">
        <f t="shared" si="1"/>
        <v>24.1169216589862</v>
      </c>
    </row>
    <row r="113" spans="1:20" x14ac:dyDescent="0.3">
      <c r="A113">
        <v>112</v>
      </c>
      <c r="B113">
        <v>3</v>
      </c>
      <c r="C113">
        <v>1750894265.1719401</v>
      </c>
      <c r="D113">
        <v>1750894308.9044299</v>
      </c>
      <c r="E113">
        <v>43.732496721311499</v>
      </c>
      <c r="F113">
        <v>1750893385</v>
      </c>
      <c r="G113">
        <v>1750893421</v>
      </c>
      <c r="H113">
        <v>36.997</v>
      </c>
      <c r="I113">
        <v>6.73549672131149</v>
      </c>
      <c r="J113">
        <v>6.73549672131149</v>
      </c>
      <c r="K113">
        <v>16.6865817200949</v>
      </c>
      <c r="L113">
        <v>887.90443778038002</v>
      </c>
      <c r="M113">
        <v>887.90443778038002</v>
      </c>
      <c r="N113" s="3">
        <v>5.07114940290575E-5</v>
      </c>
      <c r="O113" s="2">
        <v>45833.979920972219</v>
      </c>
      <c r="P113" s="2">
        <v>45833.980427129631</v>
      </c>
      <c r="Q113" s="1" t="s">
        <v>131</v>
      </c>
      <c r="R113" s="1" t="s">
        <v>137</v>
      </c>
      <c r="T113">
        <f t="shared" si="1"/>
        <v>-6.7354967213114989</v>
      </c>
    </row>
    <row r="114" spans="1:20" x14ac:dyDescent="0.3">
      <c r="A114">
        <v>113</v>
      </c>
      <c r="B114">
        <v>2</v>
      </c>
      <c r="C114">
        <v>1750894274.2190499</v>
      </c>
      <c r="D114">
        <v>1750894334.8894701</v>
      </c>
      <c r="E114">
        <v>60.670422885572101</v>
      </c>
      <c r="F114">
        <v>1750893392</v>
      </c>
      <c r="G114">
        <v>1750893438</v>
      </c>
      <c r="H114">
        <v>45.938000000000002</v>
      </c>
      <c r="I114">
        <v>14.732422885572101</v>
      </c>
      <c r="J114">
        <v>14.732422885572101</v>
      </c>
      <c r="K114">
        <v>27.6383844480752</v>
      </c>
      <c r="L114">
        <v>896.889478683471</v>
      </c>
      <c r="M114">
        <v>896.889478683471</v>
      </c>
      <c r="N114" s="3">
        <v>5.1224662192672403E-5</v>
      </c>
      <c r="O114" s="2">
        <v>45833.980025682868</v>
      </c>
      <c r="P114" s="2">
        <v>45833.980727881943</v>
      </c>
      <c r="Q114" s="1" t="s">
        <v>132</v>
      </c>
      <c r="R114" s="1" t="s">
        <v>138</v>
      </c>
      <c r="T114">
        <f t="shared" si="1"/>
        <v>-14.732422885572099</v>
      </c>
    </row>
    <row r="115" spans="1:20" x14ac:dyDescent="0.3">
      <c r="A115">
        <v>114</v>
      </c>
      <c r="B115">
        <v>1</v>
      </c>
      <c r="C115">
        <v>1750894306.2084899</v>
      </c>
      <c r="D115">
        <v>1750894366.87078</v>
      </c>
      <c r="E115">
        <v>60.662283425414302</v>
      </c>
      <c r="F115">
        <v>1750893416</v>
      </c>
      <c r="G115">
        <v>1750893474</v>
      </c>
      <c r="H115">
        <v>58.728999999999999</v>
      </c>
      <c r="I115">
        <v>1.9332834254143301</v>
      </c>
      <c r="J115">
        <v>1.9332834254143301</v>
      </c>
      <c r="K115">
        <v>3.23856712139641</v>
      </c>
      <c r="L115">
        <v>892.87078285217206</v>
      </c>
      <c r="M115">
        <v>892.87078285217206</v>
      </c>
      <c r="N115" s="3">
        <v>5.0995138679226403E-5</v>
      </c>
      <c r="O115" s="2">
        <v>45833.980395925922</v>
      </c>
      <c r="P115" s="2">
        <v>45833.98109804398</v>
      </c>
      <c r="Q115" s="1" t="s">
        <v>135</v>
      </c>
      <c r="R115" s="1" t="s">
        <v>139</v>
      </c>
      <c r="T115">
        <f t="shared" si="1"/>
        <v>-1.9332834254143023</v>
      </c>
    </row>
    <row r="116" spans="1:20" x14ac:dyDescent="0.3">
      <c r="A116">
        <v>115</v>
      </c>
      <c r="B116">
        <v>3</v>
      </c>
      <c r="C116">
        <v>1750894308.9044299</v>
      </c>
      <c r="D116">
        <v>1750894369.56565</v>
      </c>
      <c r="E116">
        <v>60.661215902815997</v>
      </c>
      <c r="F116">
        <v>1750893421</v>
      </c>
      <c r="G116">
        <v>1750893456</v>
      </c>
      <c r="H116">
        <v>34.881999999999998</v>
      </c>
      <c r="I116">
        <v>25.779215902815999</v>
      </c>
      <c r="J116">
        <v>25.779215902815999</v>
      </c>
      <c r="K116">
        <v>53.963467022165098</v>
      </c>
      <c r="L116">
        <v>913.56565380096401</v>
      </c>
      <c r="M116">
        <v>913.56565380096401</v>
      </c>
      <c r="N116" s="3">
        <v>5.2177099202370601E-5</v>
      </c>
      <c r="O116" s="2">
        <v>45833.980427129631</v>
      </c>
      <c r="P116" s="2">
        <v>45833.981129236112</v>
      </c>
      <c r="Q116" s="1" t="s">
        <v>137</v>
      </c>
      <c r="R116" s="1" t="s">
        <v>140</v>
      </c>
      <c r="T116">
        <f t="shared" si="1"/>
        <v>-25.779215902815999</v>
      </c>
    </row>
    <row r="117" spans="1:20" x14ac:dyDescent="0.3">
      <c r="A117">
        <v>116</v>
      </c>
      <c r="B117">
        <v>2</v>
      </c>
      <c r="C117">
        <v>1750894334.8894701</v>
      </c>
      <c r="D117">
        <v>1750894384.5684299</v>
      </c>
      <c r="E117">
        <v>49.6789610299233</v>
      </c>
      <c r="F117">
        <v>1750893438</v>
      </c>
      <c r="G117">
        <v>1750893522</v>
      </c>
      <c r="H117">
        <v>83.57</v>
      </c>
      <c r="I117">
        <v>-33.8910389700766</v>
      </c>
      <c r="J117">
        <v>33.8910389700766</v>
      </c>
      <c r="K117">
        <v>50.868747805794598</v>
      </c>
      <c r="L117">
        <v>862.56843972206104</v>
      </c>
      <c r="M117">
        <v>862.56843972206104</v>
      </c>
      <c r="N117" s="3">
        <v>4.9264459341133002E-5</v>
      </c>
      <c r="O117" s="2">
        <v>45833.980727881943</v>
      </c>
      <c r="P117" s="2">
        <v>45833.981302870372</v>
      </c>
      <c r="Q117" s="1" t="s">
        <v>138</v>
      </c>
      <c r="R117" s="1" t="s">
        <v>141</v>
      </c>
      <c r="T117">
        <f t="shared" si="1"/>
        <v>33.891038970076693</v>
      </c>
    </row>
    <row r="118" spans="1:20" x14ac:dyDescent="0.3">
      <c r="A118">
        <v>117</v>
      </c>
      <c r="B118">
        <v>1</v>
      </c>
      <c r="C118">
        <v>1750894366.87078</v>
      </c>
      <c r="D118">
        <v>1750894421.3963001</v>
      </c>
      <c r="E118">
        <v>54.525519540229901</v>
      </c>
      <c r="F118">
        <v>1750893456</v>
      </c>
      <c r="G118">
        <v>1750893540</v>
      </c>
      <c r="H118">
        <v>83.906999999999996</v>
      </c>
      <c r="I118">
        <v>-29.38148045977</v>
      </c>
      <c r="J118">
        <v>29.38148045977</v>
      </c>
      <c r="K118">
        <v>42.448812688454296</v>
      </c>
      <c r="L118">
        <v>881.39630246162403</v>
      </c>
      <c r="M118">
        <v>881.39630246162403</v>
      </c>
      <c r="N118" s="3">
        <v>5.0339787113219499E-5</v>
      </c>
      <c r="O118" s="2">
        <v>45833.98109804398</v>
      </c>
      <c r="P118" s="2">
        <v>45833.981729120373</v>
      </c>
      <c r="Q118" s="1" t="s">
        <v>140</v>
      </c>
      <c r="R118" s="1" t="s">
        <v>142</v>
      </c>
      <c r="T118">
        <f t="shared" si="1"/>
        <v>29.381480459770096</v>
      </c>
    </row>
    <row r="119" spans="1:20" x14ac:dyDescent="0.3">
      <c r="A119">
        <v>118</v>
      </c>
      <c r="B119">
        <v>3</v>
      </c>
      <c r="C119">
        <v>1750894369.56565</v>
      </c>
      <c r="D119">
        <v>1750894430.21264</v>
      </c>
      <c r="E119">
        <v>60.6469889624723</v>
      </c>
      <c r="F119">
        <v>1750893458</v>
      </c>
      <c r="G119">
        <v>1750893504</v>
      </c>
      <c r="H119">
        <v>45.655000000000001</v>
      </c>
      <c r="I119">
        <v>14.9919889624723</v>
      </c>
      <c r="J119">
        <v>14.9919889624723</v>
      </c>
      <c r="K119">
        <v>28.2064128974387</v>
      </c>
      <c r="L119">
        <v>926.21264266967705</v>
      </c>
      <c r="M119">
        <v>926.21264266967705</v>
      </c>
      <c r="N119" s="3">
        <v>5.2899413674970597E-5</v>
      </c>
      <c r="O119" s="2">
        <v>45833.981129236112</v>
      </c>
      <c r="P119" s="2">
        <v>45833.981831168981</v>
      </c>
      <c r="Q119" s="1" t="s">
        <v>136</v>
      </c>
      <c r="R119" s="1" t="s">
        <v>143</v>
      </c>
      <c r="T119">
        <f t="shared" si="1"/>
        <v>-14.991988962472298</v>
      </c>
    </row>
    <row r="120" spans="1:20" x14ac:dyDescent="0.3">
      <c r="A120">
        <v>119</v>
      </c>
      <c r="B120">
        <v>2</v>
      </c>
      <c r="C120">
        <v>1750894384.5684299</v>
      </c>
      <c r="D120">
        <v>1750894429.1612799</v>
      </c>
      <c r="E120">
        <v>44.592841686555197</v>
      </c>
      <c r="F120">
        <v>1750893474</v>
      </c>
      <c r="G120">
        <v>1750893550</v>
      </c>
      <c r="H120">
        <v>75.977999999999994</v>
      </c>
      <c r="I120">
        <v>-31.385158313444698</v>
      </c>
      <c r="J120">
        <v>31.385158313444698</v>
      </c>
      <c r="K120">
        <v>52.060942553649603</v>
      </c>
      <c r="L120">
        <v>879.16128134727398</v>
      </c>
      <c r="M120">
        <v>879.16128134727398</v>
      </c>
      <c r="N120" s="3">
        <v>5.0212136575889602E-5</v>
      </c>
      <c r="O120" s="2">
        <v>45833.981302870372</v>
      </c>
      <c r="P120" s="2">
        <v>45833.981818993052</v>
      </c>
      <c r="Q120" s="1" t="s">
        <v>139</v>
      </c>
      <c r="R120" s="1" t="s">
        <v>144</v>
      </c>
      <c r="T120">
        <f t="shared" si="1"/>
        <v>31.385158313444798</v>
      </c>
    </row>
    <row r="121" spans="1:20" x14ac:dyDescent="0.3">
      <c r="A121">
        <v>120</v>
      </c>
      <c r="B121">
        <v>1</v>
      </c>
      <c r="C121">
        <v>1750894421.3963001</v>
      </c>
      <c r="D121">
        <v>1750894465.11777</v>
      </c>
      <c r="E121">
        <v>43.721472995089997</v>
      </c>
      <c r="F121">
        <v>1750893504</v>
      </c>
      <c r="G121">
        <v>1750893567</v>
      </c>
      <c r="H121">
        <v>63.63</v>
      </c>
      <c r="I121">
        <v>-19.908527004909899</v>
      </c>
      <c r="J121">
        <v>19.908527004909899</v>
      </c>
      <c r="K121">
        <v>37.090365785331102</v>
      </c>
      <c r="L121">
        <v>898.11777544021595</v>
      </c>
      <c r="M121">
        <v>898.11777544021595</v>
      </c>
      <c r="N121" s="3">
        <v>5.1294810948169301E-5</v>
      </c>
      <c r="O121" s="2">
        <v>45833.981729120373</v>
      </c>
      <c r="P121" s="2">
        <v>45833.982235162039</v>
      </c>
      <c r="Q121" s="1" t="s">
        <v>143</v>
      </c>
      <c r="R121" s="1" t="s">
        <v>145</v>
      </c>
      <c r="T121">
        <f t="shared" si="1"/>
        <v>19.908527004910006</v>
      </c>
    </row>
    <row r="122" spans="1:20" x14ac:dyDescent="0.3">
      <c r="A122">
        <v>121</v>
      </c>
      <c r="B122">
        <v>2</v>
      </c>
      <c r="C122">
        <v>1750894429.1612799</v>
      </c>
      <c r="D122">
        <v>1750894489.8</v>
      </c>
      <c r="E122">
        <v>60.638719801434</v>
      </c>
      <c r="F122">
        <v>1750893522</v>
      </c>
      <c r="G122">
        <v>1750893557</v>
      </c>
      <c r="H122">
        <v>34.883000000000003</v>
      </c>
      <c r="I122">
        <v>25.755719801434001</v>
      </c>
      <c r="J122">
        <v>25.755719801434001</v>
      </c>
      <c r="K122">
        <v>53.926415594220401</v>
      </c>
      <c r="L122">
        <v>932.80000114440895</v>
      </c>
      <c r="M122">
        <v>932.80000114440895</v>
      </c>
      <c r="N122" s="3">
        <v>5.3275640254516201E-5</v>
      </c>
      <c r="O122" s="2">
        <v>45833.981818993052</v>
      </c>
      <c r="P122" s="2">
        <v>45833.982520833335</v>
      </c>
      <c r="Q122" s="1" t="s">
        <v>141</v>
      </c>
      <c r="R122" s="1" t="s">
        <v>146</v>
      </c>
      <c r="T122">
        <f t="shared" si="1"/>
        <v>-25.755719801433997</v>
      </c>
    </row>
    <row r="123" spans="1:20" x14ac:dyDescent="0.3">
      <c r="A123">
        <v>122</v>
      </c>
      <c r="B123">
        <v>3</v>
      </c>
      <c r="C123">
        <v>1750894430.21264</v>
      </c>
      <c r="D123">
        <v>1750894490.8371601</v>
      </c>
      <c r="E123">
        <v>60.624521499448697</v>
      </c>
      <c r="F123">
        <v>1750893540</v>
      </c>
      <c r="G123">
        <v>1750893584</v>
      </c>
      <c r="H123">
        <v>43.402999999999999</v>
      </c>
      <c r="I123">
        <v>17.221521499448698</v>
      </c>
      <c r="J123">
        <v>17.221521499448698</v>
      </c>
      <c r="K123">
        <v>33.109548802505998</v>
      </c>
      <c r="L123">
        <v>906.83716416358902</v>
      </c>
      <c r="M123">
        <v>906.83716416358902</v>
      </c>
      <c r="N123" s="3">
        <v>5.1792806690950701E-5</v>
      </c>
      <c r="O123" s="2">
        <v>45833.981831168981</v>
      </c>
      <c r="P123" s="2">
        <v>45833.982532835646</v>
      </c>
      <c r="Q123" s="1" t="s">
        <v>142</v>
      </c>
      <c r="R123" s="1" t="s">
        <v>147</v>
      </c>
      <c r="T123">
        <f t="shared" si="1"/>
        <v>-17.221521499448698</v>
      </c>
    </row>
    <row r="124" spans="1:20" x14ac:dyDescent="0.3">
      <c r="A124">
        <v>123</v>
      </c>
      <c r="B124">
        <v>1</v>
      </c>
      <c r="C124">
        <v>1750894465.11777</v>
      </c>
      <c r="D124">
        <v>1750894525.7328</v>
      </c>
      <c r="E124">
        <v>60.6150330578512</v>
      </c>
      <c r="F124">
        <v>1750893550</v>
      </c>
      <c r="G124">
        <v>1750893608</v>
      </c>
      <c r="H124">
        <v>57.95</v>
      </c>
      <c r="I124">
        <v>2.6650330578512098</v>
      </c>
      <c r="J124">
        <v>2.6650330578512098</v>
      </c>
      <c r="K124">
        <v>4.4954789605648102</v>
      </c>
      <c r="L124">
        <v>917.73280858993496</v>
      </c>
      <c r="M124">
        <v>917.73280858993496</v>
      </c>
      <c r="N124" s="3">
        <v>5.2415096147559199E-5</v>
      </c>
      <c r="O124" s="2">
        <v>45833.982235162039</v>
      </c>
      <c r="P124" s="2">
        <v>45833.98293672454</v>
      </c>
      <c r="Q124" s="1" t="s">
        <v>144</v>
      </c>
      <c r="R124" s="1" t="s">
        <v>148</v>
      </c>
      <c r="T124">
        <f t="shared" si="1"/>
        <v>-2.6650330578511969</v>
      </c>
    </row>
    <row r="125" spans="1:20" x14ac:dyDescent="0.3">
      <c r="A125">
        <v>124</v>
      </c>
      <c r="B125">
        <v>2</v>
      </c>
      <c r="C125">
        <v>1750894489.8</v>
      </c>
      <c r="D125">
        <v>1750894544.3929</v>
      </c>
      <c r="E125">
        <v>54.592908256880698</v>
      </c>
      <c r="F125">
        <v>1750893557</v>
      </c>
      <c r="G125">
        <v>1750893661</v>
      </c>
      <c r="H125">
        <v>103.754</v>
      </c>
      <c r="I125">
        <v>-49.161091743119201</v>
      </c>
      <c r="J125">
        <v>49.161091743119201</v>
      </c>
      <c r="K125">
        <v>62.092897530233898</v>
      </c>
      <c r="L125">
        <v>883.39290928840603</v>
      </c>
      <c r="M125">
        <v>883.39290928840603</v>
      </c>
      <c r="N125" s="3">
        <v>5.0453817162782197E-5</v>
      </c>
      <c r="O125" s="2">
        <v>45833.982520833335</v>
      </c>
      <c r="P125" s="2">
        <v>45833.983152696761</v>
      </c>
      <c r="Q125" s="1" t="s">
        <v>146</v>
      </c>
      <c r="R125" s="1" t="s">
        <v>149</v>
      </c>
      <c r="T125">
        <f t="shared" si="1"/>
        <v>49.161091743119307</v>
      </c>
    </row>
    <row r="126" spans="1:20" x14ac:dyDescent="0.3">
      <c r="A126">
        <v>125</v>
      </c>
      <c r="B126">
        <v>3</v>
      </c>
      <c r="C126">
        <v>1750894490.8371601</v>
      </c>
      <c r="D126">
        <v>1750894540.53969</v>
      </c>
      <c r="E126">
        <v>49.702529207232097</v>
      </c>
      <c r="F126">
        <v>1750893567</v>
      </c>
      <c r="G126">
        <v>1750893634</v>
      </c>
      <c r="H126">
        <v>66.436000000000007</v>
      </c>
      <c r="I126">
        <v>-16.7334707927678</v>
      </c>
      <c r="J126">
        <v>16.7334707927678</v>
      </c>
      <c r="K126">
        <v>28.816398669746199</v>
      </c>
      <c r="L126">
        <v>906.53969335555996</v>
      </c>
      <c r="M126">
        <v>906.53969335555996</v>
      </c>
      <c r="N126" s="3">
        <v>5.1775815564556398E-5</v>
      </c>
      <c r="O126" s="2">
        <v>45833.982532835646</v>
      </c>
      <c r="P126" s="2">
        <v>45833.983108101849</v>
      </c>
      <c r="Q126" s="1" t="s">
        <v>145</v>
      </c>
      <c r="R126" s="1" t="s">
        <v>150</v>
      </c>
      <c r="T126">
        <f t="shared" si="1"/>
        <v>16.73347079276791</v>
      </c>
    </row>
    <row r="127" spans="1:20" x14ac:dyDescent="0.3">
      <c r="A127">
        <v>126</v>
      </c>
      <c r="B127">
        <v>1</v>
      </c>
      <c r="C127">
        <v>1750894525.7328</v>
      </c>
      <c r="D127">
        <v>1750894586.34637</v>
      </c>
      <c r="E127">
        <v>60.613565528634297</v>
      </c>
      <c r="F127">
        <v>1750893583</v>
      </c>
      <c r="G127">
        <v>1750893626</v>
      </c>
      <c r="H127">
        <v>43.55</v>
      </c>
      <c r="I127">
        <v>17.0635655286343</v>
      </c>
      <c r="J127">
        <v>17.0635655286343</v>
      </c>
      <c r="K127">
        <v>32.763021200428398</v>
      </c>
      <c r="L127">
        <v>960.34637403488102</v>
      </c>
      <c r="M127">
        <v>960.34637403488102</v>
      </c>
      <c r="N127" s="3">
        <v>5.4848912372767398E-5</v>
      </c>
      <c r="O127" s="2">
        <v>45833.98293672454</v>
      </c>
      <c r="P127" s="2">
        <v>45833.98363826389</v>
      </c>
      <c r="Q127" s="1" t="s">
        <v>151</v>
      </c>
      <c r="R127" s="1" t="s">
        <v>152</v>
      </c>
      <c r="T127">
        <f t="shared" si="1"/>
        <v>-17.0635655286343</v>
      </c>
    </row>
    <row r="128" spans="1:20" x14ac:dyDescent="0.3">
      <c r="A128">
        <v>127</v>
      </c>
      <c r="B128">
        <v>3</v>
      </c>
      <c r="C128">
        <v>1750894540.53969</v>
      </c>
      <c r="D128">
        <v>1750894572.84939</v>
      </c>
      <c r="E128">
        <v>32.309698035160203</v>
      </c>
      <c r="F128">
        <v>1750893608</v>
      </c>
      <c r="G128">
        <v>1750893670</v>
      </c>
      <c r="H128">
        <v>62.719000000000001</v>
      </c>
      <c r="I128">
        <v>-30.409301964839699</v>
      </c>
      <c r="J128">
        <v>30.409301964839699</v>
      </c>
      <c r="K128">
        <v>64.000249595313605</v>
      </c>
      <c r="L128">
        <v>902.84939146041802</v>
      </c>
      <c r="M128">
        <v>902.84939146041802</v>
      </c>
      <c r="N128" s="3">
        <v>5.1565047846855098E-5</v>
      </c>
      <c r="O128" s="2">
        <v>45833.983108101849</v>
      </c>
      <c r="P128" s="2">
        <v>45833.983482048614</v>
      </c>
      <c r="Q128" s="1" t="s">
        <v>148</v>
      </c>
      <c r="R128" s="1" t="s">
        <v>153</v>
      </c>
      <c r="T128">
        <f t="shared" si="1"/>
        <v>30.409301964839798</v>
      </c>
    </row>
    <row r="129" spans="1:20" x14ac:dyDescent="0.3">
      <c r="A129">
        <v>128</v>
      </c>
      <c r="B129">
        <v>2</v>
      </c>
      <c r="C129">
        <v>1750894544.3929</v>
      </c>
      <c r="D129">
        <v>1750894604.9970801</v>
      </c>
      <c r="E129">
        <v>60.604174463401101</v>
      </c>
      <c r="F129">
        <v>1750893626</v>
      </c>
      <c r="G129">
        <v>1750893678</v>
      </c>
      <c r="H129">
        <v>52.319000000000003</v>
      </c>
      <c r="I129">
        <v>8.2851744634011695</v>
      </c>
      <c r="J129">
        <v>8.2851744634011695</v>
      </c>
      <c r="K129">
        <v>14.6740020421342</v>
      </c>
      <c r="L129">
        <v>926.99708366393997</v>
      </c>
      <c r="M129">
        <v>926.99708366393997</v>
      </c>
      <c r="N129" s="3">
        <v>5.2944210714563697E-5</v>
      </c>
      <c r="O129" s="2">
        <v>45833.983152696761</v>
      </c>
      <c r="P129" s="2">
        <v>45833.983854131948</v>
      </c>
      <c r="Q129" s="1" t="s">
        <v>152</v>
      </c>
      <c r="R129" s="1" t="s">
        <v>154</v>
      </c>
      <c r="T129">
        <f t="shared" si="1"/>
        <v>-8.2851744634010984</v>
      </c>
    </row>
    <row r="130" spans="1:20" x14ac:dyDescent="0.3">
      <c r="A130">
        <v>129</v>
      </c>
      <c r="B130">
        <v>3</v>
      </c>
      <c r="C130">
        <v>1750894572.84939</v>
      </c>
      <c r="D130">
        <v>1750894633.4489999</v>
      </c>
      <c r="E130">
        <v>60.599617161716097</v>
      </c>
      <c r="F130">
        <v>1750893634</v>
      </c>
      <c r="G130">
        <v>1750893682</v>
      </c>
      <c r="H130">
        <v>47.911999999999999</v>
      </c>
      <c r="I130">
        <v>12.6876171617161</v>
      </c>
      <c r="J130">
        <v>12.6876171617161</v>
      </c>
      <c r="K130">
        <v>23.384808914620798</v>
      </c>
      <c r="L130">
        <v>951.44900870323102</v>
      </c>
      <c r="M130">
        <v>951.44900870323102</v>
      </c>
      <c r="N130" s="3">
        <v>5.4340749525359799E-5</v>
      </c>
      <c r="O130" s="2">
        <v>45833.983482048614</v>
      </c>
      <c r="P130" s="2">
        <v>45833.984183437497</v>
      </c>
      <c r="Q130" s="1" t="s">
        <v>150</v>
      </c>
      <c r="R130" s="1" t="s">
        <v>155</v>
      </c>
      <c r="T130">
        <f t="shared" si="1"/>
        <v>-12.687617161716098</v>
      </c>
    </row>
    <row r="131" spans="1:20" x14ac:dyDescent="0.3">
      <c r="A131">
        <v>130</v>
      </c>
      <c r="B131">
        <v>1</v>
      </c>
      <c r="C131">
        <v>1750894586.34637</v>
      </c>
      <c r="D131">
        <v>1750894630.1003699</v>
      </c>
      <c r="E131">
        <v>43.7540032679738</v>
      </c>
      <c r="F131">
        <v>1750893661</v>
      </c>
      <c r="G131">
        <v>1750893706</v>
      </c>
      <c r="H131">
        <v>45.593000000000004</v>
      </c>
      <c r="I131">
        <v>-1.83899673202612</v>
      </c>
      <c r="J131">
        <v>1.83899673202612</v>
      </c>
      <c r="K131">
        <v>4.11652694497322</v>
      </c>
      <c r="L131">
        <v>924.10037732124295</v>
      </c>
      <c r="M131">
        <v>924.10037732124295</v>
      </c>
      <c r="N131" s="3">
        <v>5.2778768367840797E-5</v>
      </c>
      <c r="O131" s="2">
        <v>45833.98363826389</v>
      </c>
      <c r="P131" s="2">
        <v>45833.984144675924</v>
      </c>
      <c r="Q131" s="1" t="s">
        <v>149</v>
      </c>
      <c r="R131" s="1" t="s">
        <v>156</v>
      </c>
      <c r="T131">
        <f t="shared" ref="T131:T194" si="2">H131-E131</f>
        <v>1.8389967320262031</v>
      </c>
    </row>
    <row r="132" spans="1:20" x14ac:dyDescent="0.3">
      <c r="A132">
        <v>131</v>
      </c>
      <c r="B132">
        <v>2</v>
      </c>
      <c r="C132">
        <v>1750894604.9970801</v>
      </c>
      <c r="D132">
        <v>1750894648.7540801</v>
      </c>
      <c r="E132">
        <v>43.757003262642698</v>
      </c>
      <c r="F132">
        <v>1750893670</v>
      </c>
      <c r="G132">
        <v>1750893715</v>
      </c>
      <c r="H132">
        <v>44.511000000000003</v>
      </c>
      <c r="I132">
        <v>-0.75399673735724004</v>
      </c>
      <c r="J132">
        <v>0.75399673735724004</v>
      </c>
      <c r="K132">
        <v>1.7084259516185301</v>
      </c>
      <c r="L132">
        <v>933.75408697128296</v>
      </c>
      <c r="M132">
        <v>933.75408697128296</v>
      </c>
      <c r="N132" s="3">
        <v>5.3330126779577999E-5</v>
      </c>
      <c r="O132" s="2">
        <v>45833.983854131948</v>
      </c>
      <c r="P132" s="2">
        <v>45833.984360578703</v>
      </c>
      <c r="Q132" s="1" t="s">
        <v>153</v>
      </c>
      <c r="R132" s="1" t="s">
        <v>157</v>
      </c>
      <c r="T132">
        <f t="shared" si="2"/>
        <v>0.75399673735730488</v>
      </c>
    </row>
    <row r="133" spans="1:20" x14ac:dyDescent="0.3">
      <c r="A133">
        <v>132</v>
      </c>
      <c r="B133">
        <v>1</v>
      </c>
      <c r="C133">
        <v>1750894630.1003699</v>
      </c>
      <c r="D133">
        <v>1750894673.8585999</v>
      </c>
      <c r="E133">
        <v>43.758231270358301</v>
      </c>
      <c r="F133">
        <v>1750893678</v>
      </c>
      <c r="G133">
        <v>1750893739</v>
      </c>
      <c r="H133">
        <v>60.707000000000001</v>
      </c>
      <c r="I133">
        <v>-16.9487687296416</v>
      </c>
      <c r="J133">
        <v>16.9487687296416</v>
      </c>
      <c r="K133">
        <v>32.448631039312701</v>
      </c>
      <c r="L133">
        <v>934.85860848426796</v>
      </c>
      <c r="M133">
        <v>934.85860848426796</v>
      </c>
      <c r="N133" s="3">
        <v>5.3393209312787502E-5</v>
      </c>
      <c r="O133" s="2">
        <v>45833.984144675924</v>
      </c>
      <c r="P133" s="2">
        <v>45833.984651145831</v>
      </c>
      <c r="Q133" s="1" t="s">
        <v>154</v>
      </c>
      <c r="R133" s="1" t="s">
        <v>158</v>
      </c>
      <c r="T133">
        <f t="shared" si="2"/>
        <v>16.948768729641699</v>
      </c>
    </row>
    <row r="134" spans="1:20" x14ac:dyDescent="0.3">
      <c r="A134">
        <v>133</v>
      </c>
      <c r="B134">
        <v>3</v>
      </c>
      <c r="C134">
        <v>1750894633.4489999</v>
      </c>
      <c r="D134">
        <v>1750894694.0416501</v>
      </c>
      <c r="E134">
        <v>60.592642111049997</v>
      </c>
      <c r="F134">
        <v>1750893682</v>
      </c>
      <c r="G134">
        <v>1750893723</v>
      </c>
      <c r="H134">
        <v>41.030999999999999</v>
      </c>
      <c r="I134">
        <v>19.561642111049999</v>
      </c>
      <c r="J134">
        <v>19.561642111049999</v>
      </c>
      <c r="K134">
        <v>38.498211055403502</v>
      </c>
      <c r="L134">
        <v>971.04165077209404</v>
      </c>
      <c r="M134">
        <v>971.04165077209404</v>
      </c>
      <c r="N134" s="3">
        <v>5.5459755709195002E-5</v>
      </c>
      <c r="O134" s="2">
        <v>45833.984183437497</v>
      </c>
      <c r="P134" s="2">
        <v>45833.984884745369</v>
      </c>
      <c r="Q134" s="1" t="s">
        <v>155</v>
      </c>
      <c r="R134" s="1" t="s">
        <v>159</v>
      </c>
      <c r="T134">
        <f t="shared" si="2"/>
        <v>-19.561642111049999</v>
      </c>
    </row>
    <row r="135" spans="1:20" x14ac:dyDescent="0.3">
      <c r="A135">
        <v>134</v>
      </c>
      <c r="B135">
        <v>2</v>
      </c>
      <c r="C135">
        <v>1750894648.7540801</v>
      </c>
      <c r="D135">
        <v>1750894681.09519</v>
      </c>
      <c r="E135">
        <v>32.341112603305703</v>
      </c>
      <c r="F135">
        <v>1750893706</v>
      </c>
      <c r="G135">
        <v>1750893758</v>
      </c>
      <c r="H135">
        <v>51.667000000000002</v>
      </c>
      <c r="I135">
        <v>-19.325887396694199</v>
      </c>
      <c r="J135">
        <v>19.325887396694199</v>
      </c>
      <c r="K135">
        <v>46.009574070430297</v>
      </c>
      <c r="L135">
        <v>923.09519958496003</v>
      </c>
      <c r="M135">
        <v>923.09519958496003</v>
      </c>
      <c r="N135" s="3">
        <v>5.2721357422921398E-5</v>
      </c>
      <c r="O135" s="2">
        <v>45833.984360578703</v>
      </c>
      <c r="P135" s="2">
        <v>45833.984734895836</v>
      </c>
      <c r="Q135" s="1" t="s">
        <v>156</v>
      </c>
      <c r="R135" s="1" t="s">
        <v>160</v>
      </c>
      <c r="T135">
        <f t="shared" si="2"/>
        <v>19.325887396694299</v>
      </c>
    </row>
    <row r="136" spans="1:20" x14ac:dyDescent="0.3">
      <c r="A136">
        <v>135</v>
      </c>
      <c r="B136">
        <v>1</v>
      </c>
      <c r="C136">
        <v>1750894673.8585999</v>
      </c>
      <c r="D136">
        <v>1750894717.6443901</v>
      </c>
      <c r="E136">
        <v>43.785790243902397</v>
      </c>
      <c r="F136">
        <v>1750893715</v>
      </c>
      <c r="G136">
        <v>1750893779</v>
      </c>
      <c r="H136">
        <v>64.188000000000002</v>
      </c>
      <c r="I136">
        <v>-20.402209756097498</v>
      </c>
      <c r="J136">
        <v>20.402209756097498</v>
      </c>
      <c r="K136">
        <v>37.791041159175499</v>
      </c>
      <c r="L136">
        <v>938.64439868927002</v>
      </c>
      <c r="M136">
        <v>938.64439868927002</v>
      </c>
      <c r="N136" s="3">
        <v>5.3609428415721201E-5</v>
      </c>
      <c r="O136" s="2">
        <v>45833.984651145831</v>
      </c>
      <c r="P136" s="2">
        <v>45833.985157916664</v>
      </c>
      <c r="Q136" s="1" t="s">
        <v>157</v>
      </c>
      <c r="R136" s="1" t="s">
        <v>161</v>
      </c>
      <c r="T136">
        <f t="shared" si="2"/>
        <v>20.402209756097605</v>
      </c>
    </row>
    <row r="137" spans="1:20" x14ac:dyDescent="0.3">
      <c r="A137">
        <v>136</v>
      </c>
      <c r="B137">
        <v>2</v>
      </c>
      <c r="C137">
        <v>1750894681.09519</v>
      </c>
      <c r="D137">
        <v>1750894741.6770899</v>
      </c>
      <c r="E137">
        <v>60.581893956043899</v>
      </c>
      <c r="F137">
        <v>1750893723</v>
      </c>
      <c r="G137">
        <v>1750893772</v>
      </c>
      <c r="H137">
        <v>48.601999999999997</v>
      </c>
      <c r="I137">
        <v>11.979893956043901</v>
      </c>
      <c r="J137">
        <v>11.979893956043901</v>
      </c>
      <c r="K137">
        <v>21.9444343336332</v>
      </c>
      <c r="L137">
        <v>969.67709350585903</v>
      </c>
      <c r="M137">
        <v>969.67709350585903</v>
      </c>
      <c r="N137" s="3">
        <v>5.5381819302824698E-5</v>
      </c>
      <c r="O137" s="2">
        <v>45833.984734895836</v>
      </c>
      <c r="P137" s="2">
        <v>45833.985436076386</v>
      </c>
      <c r="Q137" s="1" t="s">
        <v>159</v>
      </c>
      <c r="R137" s="1" t="s">
        <v>162</v>
      </c>
      <c r="T137">
        <f t="shared" si="2"/>
        <v>-11.979893956043902</v>
      </c>
    </row>
    <row r="138" spans="1:20" x14ac:dyDescent="0.3">
      <c r="A138">
        <v>137</v>
      </c>
      <c r="B138">
        <v>3</v>
      </c>
      <c r="C138">
        <v>1750894694.0416501</v>
      </c>
      <c r="D138">
        <v>1750894748.74705</v>
      </c>
      <c r="E138">
        <v>54.705405034324897</v>
      </c>
      <c r="F138">
        <v>1750893739</v>
      </c>
      <c r="G138">
        <v>1750893822</v>
      </c>
      <c r="H138">
        <v>83.385000000000005</v>
      </c>
      <c r="I138">
        <v>-28.679594965675001</v>
      </c>
      <c r="J138">
        <v>28.679594965675001</v>
      </c>
      <c r="K138">
        <v>41.5374188504207</v>
      </c>
      <c r="L138">
        <v>926.74705576896599</v>
      </c>
      <c r="M138">
        <v>926.74705576896599</v>
      </c>
      <c r="N138" s="3">
        <v>5.2929926353106901E-5</v>
      </c>
      <c r="O138" s="2">
        <v>45833.984884745369</v>
      </c>
      <c r="P138" s="2">
        <v>45833.985517905094</v>
      </c>
      <c r="Q138" s="1" t="s">
        <v>158</v>
      </c>
      <c r="R138" s="1" t="s">
        <v>163</v>
      </c>
      <c r="T138">
        <f t="shared" si="2"/>
        <v>28.679594965675108</v>
      </c>
    </row>
    <row r="139" spans="1:20" x14ac:dyDescent="0.3">
      <c r="A139">
        <v>138</v>
      </c>
      <c r="B139">
        <v>1</v>
      </c>
      <c r="C139">
        <v>1750894717.6443901</v>
      </c>
      <c r="D139">
        <v>1750894771.2400601</v>
      </c>
      <c r="E139">
        <v>53.595670870113402</v>
      </c>
      <c r="F139">
        <v>1750893758</v>
      </c>
      <c r="G139">
        <v>1750893830</v>
      </c>
      <c r="H139">
        <v>71.817999999999998</v>
      </c>
      <c r="I139">
        <v>-18.2223291298865</v>
      </c>
      <c r="J139">
        <v>18.2223291298865</v>
      </c>
      <c r="K139">
        <v>29.059557867114499</v>
      </c>
      <c r="L139">
        <v>941.24006962776105</v>
      </c>
      <c r="M139">
        <v>941.24006962776105</v>
      </c>
      <c r="N139" s="3">
        <v>5.3757675108911198E-5</v>
      </c>
      <c r="O139" s="2">
        <v>45833.985157916664</v>
      </c>
      <c r="P139" s="2">
        <v>45833.985778240742</v>
      </c>
      <c r="Q139" s="1" t="s">
        <v>160</v>
      </c>
      <c r="R139" s="1" t="s">
        <v>164</v>
      </c>
      <c r="T139">
        <f t="shared" si="2"/>
        <v>18.222329129886596</v>
      </c>
    </row>
    <row r="140" spans="1:20" x14ac:dyDescent="0.3">
      <c r="A140">
        <v>139</v>
      </c>
      <c r="B140">
        <v>2</v>
      </c>
      <c r="C140">
        <v>1750894741.6770899</v>
      </c>
      <c r="D140">
        <v>1750894802.2523999</v>
      </c>
      <c r="E140">
        <v>60.5753152114222</v>
      </c>
      <c r="F140">
        <v>1750893772</v>
      </c>
      <c r="G140">
        <v>1750893809</v>
      </c>
      <c r="H140">
        <v>37.149000000000001</v>
      </c>
      <c r="I140">
        <v>23.4263152114222</v>
      </c>
      <c r="J140">
        <v>23.4263152114222</v>
      </c>
      <c r="K140">
        <v>47.943677396440101</v>
      </c>
      <c r="L140">
        <v>993.25240874290398</v>
      </c>
      <c r="M140">
        <v>993.25240874290398</v>
      </c>
      <c r="N140" s="3">
        <v>5.6728290539940301E-5</v>
      </c>
      <c r="O140" s="2">
        <v>45833.985436076386</v>
      </c>
      <c r="P140" s="2">
        <v>45833.986137175925</v>
      </c>
      <c r="Q140" s="1" t="s">
        <v>162</v>
      </c>
      <c r="R140" s="1" t="s">
        <v>165</v>
      </c>
      <c r="T140">
        <f t="shared" si="2"/>
        <v>-23.4263152114222</v>
      </c>
    </row>
    <row r="141" spans="1:20" x14ac:dyDescent="0.3">
      <c r="A141">
        <v>140</v>
      </c>
      <c r="B141">
        <v>3</v>
      </c>
      <c r="C141">
        <v>1750894748.74705</v>
      </c>
      <c r="D141">
        <v>1750894781.10811</v>
      </c>
      <c r="E141">
        <v>32.361056759545797</v>
      </c>
      <c r="F141">
        <v>1750893779</v>
      </c>
      <c r="G141">
        <v>1750893840</v>
      </c>
      <c r="H141">
        <v>61.27</v>
      </c>
      <c r="I141">
        <v>-28.9089432404541</v>
      </c>
      <c r="J141">
        <v>28.9089432404541</v>
      </c>
      <c r="K141">
        <v>61.750757154637697</v>
      </c>
      <c r="L141">
        <v>941.10811257362298</v>
      </c>
      <c r="M141">
        <v>941.10811257362298</v>
      </c>
      <c r="N141" s="3">
        <v>5.3750138252252202E-5</v>
      </c>
      <c r="O141" s="2">
        <v>45833.985517905094</v>
      </c>
      <c r="P141" s="2">
        <v>45833.985892453704</v>
      </c>
      <c r="Q141" s="1" t="s">
        <v>161</v>
      </c>
      <c r="R141" s="1" t="s">
        <v>166</v>
      </c>
      <c r="T141">
        <f t="shared" si="2"/>
        <v>28.908943240454207</v>
      </c>
    </row>
    <row r="142" spans="1:20" x14ac:dyDescent="0.3">
      <c r="A142">
        <v>141</v>
      </c>
      <c r="B142">
        <v>1</v>
      </c>
      <c r="C142">
        <v>1750894771.2400601</v>
      </c>
      <c r="D142">
        <v>1750894831.80252</v>
      </c>
      <c r="E142">
        <v>60.562457738748599</v>
      </c>
      <c r="F142">
        <v>1750893809</v>
      </c>
      <c r="G142">
        <v>1750893859</v>
      </c>
      <c r="H142">
        <v>50.631999999999998</v>
      </c>
      <c r="I142">
        <v>9.9304577387486006</v>
      </c>
      <c r="J142">
        <v>9.9304577387486006</v>
      </c>
      <c r="K142">
        <v>17.8614257233579</v>
      </c>
      <c r="L142">
        <v>972.802527427673</v>
      </c>
      <c r="M142">
        <v>972.802527427673</v>
      </c>
      <c r="N142" s="3">
        <v>5.5560321499852101E-5</v>
      </c>
      <c r="O142" s="2">
        <v>45833.985778240742</v>
      </c>
      <c r="P142" s="2">
        <v>45833.98647920139</v>
      </c>
      <c r="Q142" s="1" t="s">
        <v>165</v>
      </c>
      <c r="R142" s="1" t="s">
        <v>167</v>
      </c>
      <c r="T142">
        <f t="shared" si="2"/>
        <v>-9.9304577387486006</v>
      </c>
    </row>
    <row r="143" spans="1:20" x14ac:dyDescent="0.3">
      <c r="A143">
        <v>142</v>
      </c>
      <c r="B143">
        <v>3</v>
      </c>
      <c r="C143">
        <v>1750894781.10811</v>
      </c>
      <c r="D143">
        <v>1750894835.8789899</v>
      </c>
      <c r="E143">
        <v>54.770883561643799</v>
      </c>
      <c r="F143">
        <v>1750893822</v>
      </c>
      <c r="G143">
        <v>1750893895</v>
      </c>
      <c r="H143">
        <v>72.397000000000006</v>
      </c>
      <c r="I143">
        <v>-17.6261164383561</v>
      </c>
      <c r="J143">
        <v>17.6261164383561</v>
      </c>
      <c r="K143">
        <v>27.721018774071101</v>
      </c>
      <c r="L143">
        <v>940.87899613380398</v>
      </c>
      <c r="M143">
        <v>940.87899613380398</v>
      </c>
      <c r="N143" s="3">
        <v>5.3737050886998002E-5</v>
      </c>
      <c r="O143" s="2">
        <v>45833.985892453704</v>
      </c>
      <c r="P143" s="2">
        <v>45833.986526377317</v>
      </c>
      <c r="Q143" s="1" t="s">
        <v>163</v>
      </c>
      <c r="R143" s="1" t="s">
        <v>168</v>
      </c>
      <c r="T143">
        <f t="shared" si="2"/>
        <v>17.626116438356206</v>
      </c>
    </row>
    <row r="144" spans="1:20" x14ac:dyDescent="0.3">
      <c r="A144">
        <v>143</v>
      </c>
      <c r="B144">
        <v>2</v>
      </c>
      <c r="C144">
        <v>1750894802.2523999</v>
      </c>
      <c r="D144">
        <v>1750894857.0634401</v>
      </c>
      <c r="E144">
        <v>54.811034168564902</v>
      </c>
      <c r="F144">
        <v>1750893830</v>
      </c>
      <c r="G144">
        <v>1750893910</v>
      </c>
      <c r="H144">
        <v>79.918000000000006</v>
      </c>
      <c r="I144">
        <v>-25.106965831435001</v>
      </c>
      <c r="J144">
        <v>25.106965831435001</v>
      </c>
      <c r="K144">
        <v>37.270312203118301</v>
      </c>
      <c r="L144">
        <v>947.06344294548001</v>
      </c>
      <c r="M144">
        <v>947.06344294548001</v>
      </c>
      <c r="N144" s="3">
        <v>5.4090266771840497E-5</v>
      </c>
      <c r="O144" s="2">
        <v>45833.986137175925</v>
      </c>
      <c r="P144" s="2">
        <v>45833.986771562501</v>
      </c>
      <c r="Q144" s="1" t="s">
        <v>164</v>
      </c>
      <c r="R144" s="1" t="s">
        <v>169</v>
      </c>
      <c r="T144">
        <f t="shared" si="2"/>
        <v>25.106965831435105</v>
      </c>
    </row>
    <row r="145" spans="1:20" x14ac:dyDescent="0.3">
      <c r="A145">
        <v>144</v>
      </c>
      <c r="B145">
        <v>1</v>
      </c>
      <c r="C145">
        <v>1750894831.80252</v>
      </c>
      <c r="D145">
        <v>1750894881.51668</v>
      </c>
      <c r="E145">
        <v>49.7141577484363</v>
      </c>
      <c r="F145">
        <v>1750893840</v>
      </c>
      <c r="G145">
        <v>1750893901</v>
      </c>
      <c r="H145">
        <v>60.670999999999999</v>
      </c>
      <c r="I145">
        <v>-10.9568422515636</v>
      </c>
      <c r="J145">
        <v>10.9568422515636</v>
      </c>
      <c r="K145">
        <v>19.852020824274</v>
      </c>
      <c r="L145">
        <v>980.51668524742104</v>
      </c>
      <c r="M145">
        <v>980.51668524742104</v>
      </c>
      <c r="N145" s="3">
        <v>5.6000903889053902E-5</v>
      </c>
      <c r="O145" s="2">
        <v>45833.98647920139</v>
      </c>
      <c r="P145" s="2">
        <v>45833.987054594909</v>
      </c>
      <c r="Q145" s="1" t="s">
        <v>166</v>
      </c>
      <c r="R145" s="1" t="s">
        <v>170</v>
      </c>
      <c r="T145">
        <f t="shared" si="2"/>
        <v>10.9568422515637</v>
      </c>
    </row>
    <row r="146" spans="1:20" x14ac:dyDescent="0.3">
      <c r="A146">
        <v>145</v>
      </c>
      <c r="B146">
        <v>3</v>
      </c>
      <c r="C146">
        <v>1750894835.8789899</v>
      </c>
      <c r="D146">
        <v>1750894890.7470901</v>
      </c>
      <c r="E146">
        <v>54.868095454545397</v>
      </c>
      <c r="F146">
        <v>1750893859</v>
      </c>
      <c r="G146">
        <v>1750893937</v>
      </c>
      <c r="H146">
        <v>77.620999999999995</v>
      </c>
      <c r="I146">
        <v>-22.752904545454498</v>
      </c>
      <c r="J146">
        <v>22.752904545454498</v>
      </c>
      <c r="K146">
        <v>34.346833552442199</v>
      </c>
      <c r="L146">
        <v>953.74709153175297</v>
      </c>
      <c r="M146">
        <v>953.74709153175297</v>
      </c>
      <c r="N146" s="3">
        <v>5.44719935122618E-5</v>
      </c>
      <c r="O146" s="2">
        <v>45833.986526377317</v>
      </c>
      <c r="P146" s="2">
        <v>45833.987161423611</v>
      </c>
      <c r="Q146" s="1" t="s">
        <v>167</v>
      </c>
      <c r="R146" s="1" t="s">
        <v>171</v>
      </c>
      <c r="T146">
        <f t="shared" si="2"/>
        <v>22.752904545454598</v>
      </c>
    </row>
    <row r="147" spans="1:20" x14ac:dyDescent="0.3">
      <c r="A147">
        <v>146</v>
      </c>
      <c r="B147">
        <v>2</v>
      </c>
      <c r="C147">
        <v>1750894857.0634401</v>
      </c>
      <c r="D147">
        <v>1750894900.88235</v>
      </c>
      <c r="E147">
        <v>43.8189107142857</v>
      </c>
      <c r="F147">
        <v>1750893895</v>
      </c>
      <c r="G147">
        <v>1750893952</v>
      </c>
      <c r="H147">
        <v>56.975000000000001</v>
      </c>
      <c r="I147">
        <v>-13.1560892857142</v>
      </c>
      <c r="J147">
        <v>13.1560892857142</v>
      </c>
      <c r="K147">
        <v>26.104928745163999</v>
      </c>
      <c r="L147">
        <v>948.882353544235</v>
      </c>
      <c r="M147">
        <v>948.882353544235</v>
      </c>
      <c r="N147" s="3">
        <v>5.4194150099210103E-5</v>
      </c>
      <c r="O147" s="2">
        <v>45833.986771562501</v>
      </c>
      <c r="P147" s="2">
        <v>45833.987278726854</v>
      </c>
      <c r="Q147" s="1" t="s">
        <v>168</v>
      </c>
      <c r="R147" s="1" t="s">
        <v>172</v>
      </c>
      <c r="T147">
        <f t="shared" si="2"/>
        <v>13.156089285714302</v>
      </c>
    </row>
    <row r="148" spans="1:20" x14ac:dyDescent="0.3">
      <c r="A148">
        <v>147</v>
      </c>
      <c r="B148">
        <v>1</v>
      </c>
      <c r="C148">
        <v>1750894881.51668</v>
      </c>
      <c r="D148">
        <v>1750894936.4363699</v>
      </c>
      <c r="E148">
        <v>54.919689342403601</v>
      </c>
      <c r="F148">
        <v>1750893901</v>
      </c>
      <c r="G148">
        <v>1750893988</v>
      </c>
      <c r="H148">
        <v>87.427999999999997</v>
      </c>
      <c r="I148">
        <v>-32.508310657596297</v>
      </c>
      <c r="J148">
        <v>32.508310657596297</v>
      </c>
      <c r="K148">
        <v>45.674518227550202</v>
      </c>
      <c r="L148">
        <v>948.43637466430596</v>
      </c>
      <c r="M148">
        <v>948.43637466430596</v>
      </c>
      <c r="N148" s="3">
        <v>5.41686775034255E-5</v>
      </c>
      <c r="O148" s="2">
        <v>45833.987054594909</v>
      </c>
      <c r="P148" s="2">
        <v>45833.987690231479</v>
      </c>
      <c r="Q148" s="1" t="s">
        <v>170</v>
      </c>
      <c r="R148" s="1" t="s">
        <v>173</v>
      </c>
      <c r="T148">
        <f t="shared" si="2"/>
        <v>32.508310657596397</v>
      </c>
    </row>
    <row r="149" spans="1:20" x14ac:dyDescent="0.3">
      <c r="A149">
        <v>148</v>
      </c>
      <c r="B149">
        <v>3</v>
      </c>
      <c r="C149">
        <v>1750894890.7470901</v>
      </c>
      <c r="D149">
        <v>1750894961.48208</v>
      </c>
      <c r="E149">
        <v>70.734992073976002</v>
      </c>
      <c r="F149">
        <v>1750893909</v>
      </c>
      <c r="G149">
        <v>1750894032</v>
      </c>
      <c r="H149">
        <v>122.491</v>
      </c>
      <c r="I149">
        <v>-51.756007926023898</v>
      </c>
      <c r="J149">
        <v>51.756007926023898</v>
      </c>
      <c r="K149">
        <v>53.570440881689699</v>
      </c>
      <c r="L149">
        <v>929.48208355903603</v>
      </c>
      <c r="M149">
        <v>929.48208355903603</v>
      </c>
      <c r="N149" s="3">
        <v>5.3086127421674503E-5</v>
      </c>
      <c r="O149" s="2">
        <v>45833.987161423611</v>
      </c>
      <c r="P149" s="2">
        <v>45833.987980115744</v>
      </c>
      <c r="Q149" s="1" t="s">
        <v>174</v>
      </c>
      <c r="R149" s="1" t="s">
        <v>175</v>
      </c>
      <c r="T149">
        <f t="shared" si="2"/>
        <v>51.756007926023997</v>
      </c>
    </row>
    <row r="150" spans="1:20" x14ac:dyDescent="0.3">
      <c r="A150">
        <v>149</v>
      </c>
      <c r="B150">
        <v>2</v>
      </c>
      <c r="C150">
        <v>1750894900.88235</v>
      </c>
      <c r="D150">
        <v>1750894971.6856201</v>
      </c>
      <c r="E150">
        <v>70.803271767809804</v>
      </c>
      <c r="F150">
        <v>1750893937</v>
      </c>
      <c r="G150">
        <v>1750894047</v>
      </c>
      <c r="H150">
        <v>109.916</v>
      </c>
      <c r="I150">
        <v>-39.112728232190101</v>
      </c>
      <c r="J150">
        <v>39.112728232190101</v>
      </c>
      <c r="K150">
        <v>43.285619568501303</v>
      </c>
      <c r="L150">
        <v>924.68562531471196</v>
      </c>
      <c r="M150">
        <v>924.68562531471196</v>
      </c>
      <c r="N150" s="3">
        <v>5.2812183736973798E-5</v>
      </c>
      <c r="O150" s="2">
        <v>45833.987278726854</v>
      </c>
      <c r="P150" s="2">
        <v>45833.988098217589</v>
      </c>
      <c r="Q150" s="1" t="s">
        <v>171</v>
      </c>
      <c r="R150" s="1" t="s">
        <v>176</v>
      </c>
      <c r="T150">
        <f t="shared" si="2"/>
        <v>39.112728232190193</v>
      </c>
    </row>
    <row r="151" spans="1:20" x14ac:dyDescent="0.3">
      <c r="A151">
        <v>150</v>
      </c>
      <c r="B151">
        <v>1</v>
      </c>
      <c r="C151">
        <v>1750894936.4363699</v>
      </c>
      <c r="D151">
        <v>1750895031.9715199</v>
      </c>
      <c r="E151">
        <v>95.535147928994107</v>
      </c>
      <c r="F151">
        <v>1750893952</v>
      </c>
      <c r="G151">
        <v>1750894081</v>
      </c>
      <c r="H151">
        <v>129.56100000000001</v>
      </c>
      <c r="I151">
        <v>-34.0258520710059</v>
      </c>
      <c r="J151">
        <v>34.0258520710059</v>
      </c>
      <c r="K151">
        <v>30.232282856958701</v>
      </c>
      <c r="L151">
        <v>950.97152256965603</v>
      </c>
      <c r="M151">
        <v>950.97152256965603</v>
      </c>
      <c r="N151" s="3">
        <v>5.4313466167737699E-5</v>
      </c>
      <c r="O151" s="2">
        <v>45833.987690231479</v>
      </c>
      <c r="P151" s="2">
        <v>45833.988795972225</v>
      </c>
      <c r="Q151" s="1" t="s">
        <v>172</v>
      </c>
      <c r="R151" s="1" t="s">
        <v>177</v>
      </c>
      <c r="T151">
        <f t="shared" si="2"/>
        <v>34.0258520710059</v>
      </c>
    </row>
    <row r="152" spans="1:20" x14ac:dyDescent="0.3">
      <c r="A152">
        <v>151</v>
      </c>
      <c r="B152">
        <v>3</v>
      </c>
      <c r="C152">
        <v>1750894961.48208</v>
      </c>
      <c r="D152">
        <v>1750895127.49033</v>
      </c>
      <c r="E152">
        <v>166.00824763193401</v>
      </c>
      <c r="F152">
        <v>1750893988</v>
      </c>
      <c r="G152">
        <v>1750894110</v>
      </c>
      <c r="H152">
        <v>121.792</v>
      </c>
      <c r="I152">
        <v>44.216247631934799</v>
      </c>
      <c r="J152">
        <v>44.216247631934799</v>
      </c>
      <c r="K152">
        <v>30.727039323803901</v>
      </c>
      <c r="L152">
        <v>1017.49033117294</v>
      </c>
      <c r="M152">
        <v>1017.49033117294</v>
      </c>
      <c r="N152" s="3">
        <v>5.81125968564664E-5</v>
      </c>
      <c r="O152" s="2">
        <v>45833.987980115744</v>
      </c>
      <c r="P152" s="2">
        <v>45833.989901504632</v>
      </c>
      <c r="Q152" s="1" t="s">
        <v>173</v>
      </c>
      <c r="R152" s="1" t="s">
        <v>178</v>
      </c>
      <c r="T152">
        <f t="shared" si="2"/>
        <v>-44.21624763193401</v>
      </c>
    </row>
    <row r="153" spans="1:20" x14ac:dyDescent="0.3">
      <c r="A153">
        <v>152</v>
      </c>
      <c r="B153">
        <v>2</v>
      </c>
      <c r="C153">
        <v>1750894971.6856201</v>
      </c>
      <c r="D153">
        <v>1750895042.5404201</v>
      </c>
      <c r="E153">
        <v>70.854803689064397</v>
      </c>
      <c r="F153">
        <v>1750894032</v>
      </c>
      <c r="G153">
        <v>1750894144</v>
      </c>
      <c r="H153">
        <v>111.925</v>
      </c>
      <c r="I153">
        <v>-41.070196310935501</v>
      </c>
      <c r="J153">
        <v>41.070196310935501</v>
      </c>
      <c r="K153">
        <v>44.939534327109797</v>
      </c>
      <c r="L153">
        <v>898.54042911529496</v>
      </c>
      <c r="M153">
        <v>898.54042911529496</v>
      </c>
      <c r="N153" s="3">
        <v>5.1318933336646798E-5</v>
      </c>
      <c r="O153" s="2">
        <v>45833.988098217589</v>
      </c>
      <c r="P153" s="2">
        <v>45833.988918287039</v>
      </c>
      <c r="Q153" s="1" t="s">
        <v>175</v>
      </c>
      <c r="R153" s="1" t="s">
        <v>179</v>
      </c>
      <c r="T153">
        <f t="shared" si="2"/>
        <v>41.0701963109356</v>
      </c>
    </row>
    <row r="154" spans="1:20" x14ac:dyDescent="0.3">
      <c r="A154">
        <v>153</v>
      </c>
      <c r="B154">
        <v>1</v>
      </c>
      <c r="C154">
        <v>1750895031.9715199</v>
      </c>
      <c r="D154">
        <v>1750895102.8803599</v>
      </c>
      <c r="E154">
        <v>70.908843421052396</v>
      </c>
      <c r="F154">
        <v>1750894047</v>
      </c>
      <c r="G154">
        <v>1750894179</v>
      </c>
      <c r="H154">
        <v>132.274</v>
      </c>
      <c r="I154">
        <v>-61.365156578947499</v>
      </c>
      <c r="J154">
        <v>61.365156578947499</v>
      </c>
      <c r="K154">
        <v>60.4038761794286</v>
      </c>
      <c r="L154">
        <v>923.88036608695904</v>
      </c>
      <c r="M154">
        <v>923.88036608695904</v>
      </c>
      <c r="N154" s="3">
        <v>5.2766188466420797E-5</v>
      </c>
      <c r="O154" s="2">
        <v>45833.988795972225</v>
      </c>
      <c r="P154" s="2">
        <v>45833.989616666666</v>
      </c>
      <c r="Q154" s="1" t="s">
        <v>176</v>
      </c>
      <c r="R154" s="1" t="s">
        <v>180</v>
      </c>
      <c r="T154">
        <f t="shared" si="2"/>
        <v>61.365156578947605</v>
      </c>
    </row>
    <row r="155" spans="1:20" x14ac:dyDescent="0.3">
      <c r="A155">
        <v>154</v>
      </c>
      <c r="B155">
        <v>2</v>
      </c>
      <c r="C155">
        <v>1750895042.5404201</v>
      </c>
      <c r="D155">
        <v>1750895113.5299101</v>
      </c>
      <c r="E155">
        <v>70.989480946123294</v>
      </c>
      <c r="F155">
        <v>1750894081</v>
      </c>
      <c r="G155">
        <v>1750894201</v>
      </c>
      <c r="H155">
        <v>120.39700000000001</v>
      </c>
      <c r="I155">
        <v>-49.407519053876598</v>
      </c>
      <c r="J155">
        <v>49.407519053876598</v>
      </c>
      <c r="K155">
        <v>51.631148459002397</v>
      </c>
      <c r="L155">
        <v>912.52991008758499</v>
      </c>
      <c r="M155">
        <v>912.52991008758499</v>
      </c>
      <c r="N155" s="3">
        <v>5.2117921903596E-5</v>
      </c>
      <c r="O155" s="2">
        <v>45833.988918287039</v>
      </c>
      <c r="P155" s="2">
        <v>45833.989739930556</v>
      </c>
      <c r="Q155" s="1" t="s">
        <v>177</v>
      </c>
      <c r="R155" s="1" t="s">
        <v>181</v>
      </c>
      <c r="T155">
        <f t="shared" si="2"/>
        <v>49.407519053876712</v>
      </c>
    </row>
    <row r="156" spans="1:20" x14ac:dyDescent="0.3">
      <c r="A156">
        <v>155</v>
      </c>
      <c r="B156">
        <v>1</v>
      </c>
      <c r="C156">
        <v>1750895102.8803599</v>
      </c>
      <c r="D156">
        <v>1750895268.82886</v>
      </c>
      <c r="E156">
        <v>165.94849594594501</v>
      </c>
      <c r="F156">
        <v>1750894110</v>
      </c>
      <c r="G156">
        <v>1750894257</v>
      </c>
      <c r="H156">
        <v>146.41900000000001</v>
      </c>
      <c r="I156">
        <v>19.529495945945701</v>
      </c>
      <c r="J156">
        <v>19.529495945945701</v>
      </c>
      <c r="K156">
        <v>12.504179339661601</v>
      </c>
      <c r="L156">
        <v>1011.82886195182</v>
      </c>
      <c r="M156">
        <v>1011.82886195182</v>
      </c>
      <c r="N156" s="3">
        <v>5.7789244869725901E-5</v>
      </c>
      <c r="O156" s="2">
        <v>45833.989616666666</v>
      </c>
      <c r="P156" s="2">
        <v>45833.991537372684</v>
      </c>
      <c r="Q156" s="1" t="s">
        <v>178</v>
      </c>
      <c r="R156" s="1" t="s">
        <v>182</v>
      </c>
      <c r="T156">
        <f t="shared" si="2"/>
        <v>-19.529495945945001</v>
      </c>
    </row>
    <row r="157" spans="1:20" x14ac:dyDescent="0.3">
      <c r="A157">
        <v>156</v>
      </c>
      <c r="B157">
        <v>2</v>
      </c>
      <c r="C157">
        <v>1750895113.5299101</v>
      </c>
      <c r="D157">
        <v>1750895184.5842299</v>
      </c>
      <c r="E157">
        <v>71.054320209973596</v>
      </c>
      <c r="F157">
        <v>1750894144</v>
      </c>
      <c r="G157">
        <v>1750894262</v>
      </c>
      <c r="H157">
        <v>118.611</v>
      </c>
      <c r="I157">
        <v>-47.556679790026401</v>
      </c>
      <c r="J157">
        <v>47.556679790026401</v>
      </c>
      <c r="K157">
        <v>50.1479972589376</v>
      </c>
      <c r="L157">
        <v>922.58423018455505</v>
      </c>
      <c r="M157">
        <v>922.58423018455505</v>
      </c>
      <c r="N157" s="3">
        <v>5.2692158923745403E-5</v>
      </c>
      <c r="O157" s="2">
        <v>45833.989739930556</v>
      </c>
      <c r="P157" s="2">
        <v>45833.990562314815</v>
      </c>
      <c r="Q157" s="1" t="s">
        <v>179</v>
      </c>
      <c r="R157" s="1" t="s">
        <v>183</v>
      </c>
      <c r="T157">
        <f t="shared" si="2"/>
        <v>47.556679790026408</v>
      </c>
    </row>
    <row r="158" spans="1:20" x14ac:dyDescent="0.3">
      <c r="A158">
        <v>157</v>
      </c>
      <c r="B158">
        <v>3</v>
      </c>
      <c r="C158">
        <v>1750895127.49033</v>
      </c>
      <c r="D158">
        <v>1750895293.4124701</v>
      </c>
      <c r="E158">
        <v>165.92214035087699</v>
      </c>
      <c r="F158">
        <v>1750894179</v>
      </c>
      <c r="G158">
        <v>1750894306</v>
      </c>
      <c r="H158">
        <v>126.61199999999999</v>
      </c>
      <c r="I158">
        <v>39.3101403508769</v>
      </c>
      <c r="J158">
        <v>39.3101403508769</v>
      </c>
      <c r="K158">
        <v>26.875591548888501</v>
      </c>
      <c r="L158">
        <v>987.41247153282097</v>
      </c>
      <c r="M158">
        <v>987.41247153282097</v>
      </c>
      <c r="N158" s="3">
        <v>5.6394734378015697E-5</v>
      </c>
      <c r="O158" s="2">
        <v>45833.989901504632</v>
      </c>
      <c r="P158" s="2">
        <v>45833.991821898147</v>
      </c>
      <c r="Q158" s="1" t="s">
        <v>180</v>
      </c>
      <c r="R158" s="1" t="s">
        <v>184</v>
      </c>
      <c r="T158">
        <f t="shared" si="2"/>
        <v>-39.310140350876992</v>
      </c>
    </row>
    <row r="159" spans="1:20" x14ac:dyDescent="0.3">
      <c r="A159">
        <v>158</v>
      </c>
      <c r="B159">
        <v>2</v>
      </c>
      <c r="C159">
        <v>1750895184.5842299</v>
      </c>
      <c r="D159">
        <v>1750895255.70087</v>
      </c>
      <c r="E159">
        <v>71.116648754914607</v>
      </c>
      <c r="F159">
        <v>1750894201</v>
      </c>
      <c r="G159">
        <v>1750894335</v>
      </c>
      <c r="H159">
        <v>133.58099999999999</v>
      </c>
      <c r="I159">
        <v>-62.464351245085297</v>
      </c>
      <c r="J159">
        <v>62.464351245085297</v>
      </c>
      <c r="K159">
        <v>61.0308439056612</v>
      </c>
      <c r="L159">
        <v>920.70087885856606</v>
      </c>
      <c r="M159">
        <v>920.70087885856606</v>
      </c>
      <c r="N159" s="3">
        <v>5.2584591678695801E-5</v>
      </c>
      <c r="O159" s="2">
        <v>45833.990562314815</v>
      </c>
      <c r="P159" s="2">
        <v>45833.991385428242</v>
      </c>
      <c r="Q159" s="1" t="s">
        <v>181</v>
      </c>
      <c r="R159" s="1" t="s">
        <v>185</v>
      </c>
      <c r="T159">
        <f t="shared" si="2"/>
        <v>62.464351245085382</v>
      </c>
    </row>
    <row r="160" spans="1:20" x14ac:dyDescent="0.3">
      <c r="A160">
        <v>159</v>
      </c>
      <c r="B160">
        <v>2</v>
      </c>
      <c r="C160">
        <v>1750895255.70087</v>
      </c>
      <c r="D160">
        <v>1750895326.8992801</v>
      </c>
      <c r="E160">
        <v>71.198408376963101</v>
      </c>
      <c r="F160">
        <v>1750894257</v>
      </c>
      <c r="G160">
        <v>1750894368</v>
      </c>
      <c r="H160">
        <v>111.568</v>
      </c>
      <c r="I160">
        <v>-40.369591623036797</v>
      </c>
      <c r="J160">
        <v>40.369591623036797</v>
      </c>
      <c r="K160">
        <v>44.176161233931801</v>
      </c>
      <c r="L160">
        <v>958.89928722381501</v>
      </c>
      <c r="M160">
        <v>958.89928722381501</v>
      </c>
      <c r="N160" s="3">
        <v>5.4766240738017402E-5</v>
      </c>
      <c r="O160" s="2">
        <v>45833.991385428242</v>
      </c>
      <c r="P160" s="2">
        <v>45833.992209479169</v>
      </c>
      <c r="Q160" s="1" t="s">
        <v>182</v>
      </c>
      <c r="R160" s="1" t="s">
        <v>186</v>
      </c>
      <c r="T160">
        <f t="shared" si="2"/>
        <v>40.369591623036897</v>
      </c>
    </row>
    <row r="161" spans="1:20" x14ac:dyDescent="0.3">
      <c r="A161">
        <v>160</v>
      </c>
      <c r="B161">
        <v>1</v>
      </c>
      <c r="C161">
        <v>1750895268.82886</v>
      </c>
      <c r="D161">
        <v>1750895434.69802</v>
      </c>
      <c r="E161">
        <v>165.86916172506699</v>
      </c>
      <c r="F161">
        <v>1750894262</v>
      </c>
      <c r="G161">
        <v>1750894379</v>
      </c>
      <c r="H161">
        <v>116.76300000000001</v>
      </c>
      <c r="I161">
        <v>49.106161725067103</v>
      </c>
      <c r="J161">
        <v>49.106161725067103</v>
      </c>
      <c r="K161">
        <v>34.749167557820599</v>
      </c>
      <c r="L161">
        <v>1055.69802379608</v>
      </c>
      <c r="M161">
        <v>1055.69802379608</v>
      </c>
      <c r="N161" s="3">
        <v>6.0294768102099403E-5</v>
      </c>
      <c r="O161" s="2">
        <v>45833.991537372684</v>
      </c>
      <c r="P161" s="2">
        <v>45833.993457152777</v>
      </c>
      <c r="Q161" s="1" t="s">
        <v>183</v>
      </c>
      <c r="R161" s="1" t="s">
        <v>187</v>
      </c>
      <c r="T161">
        <f t="shared" si="2"/>
        <v>-49.106161725066983</v>
      </c>
    </row>
    <row r="162" spans="1:20" x14ac:dyDescent="0.3">
      <c r="A162">
        <v>161</v>
      </c>
      <c r="B162">
        <v>3</v>
      </c>
      <c r="C162">
        <v>1750895293.4124701</v>
      </c>
      <c r="D162">
        <v>1750895364.66365</v>
      </c>
      <c r="E162">
        <v>71.251179084967106</v>
      </c>
      <c r="F162">
        <v>1750894306</v>
      </c>
      <c r="G162">
        <v>1750894443</v>
      </c>
      <c r="H162">
        <v>137.821</v>
      </c>
      <c r="I162">
        <v>-66.569820915032807</v>
      </c>
      <c r="J162">
        <v>66.569820915032807</v>
      </c>
      <c r="K162">
        <v>63.681185326890102</v>
      </c>
      <c r="L162">
        <v>921.66365051269497</v>
      </c>
      <c r="M162">
        <v>921.66365051269497</v>
      </c>
      <c r="N162" s="3">
        <v>5.2639575824661901E-5</v>
      </c>
      <c r="O162" s="2">
        <v>45833.991821898147</v>
      </c>
      <c r="P162" s="2">
        <v>45833.992646574072</v>
      </c>
      <c r="Q162" s="1" t="s">
        <v>184</v>
      </c>
      <c r="R162" s="1" t="s">
        <v>188</v>
      </c>
      <c r="T162">
        <f t="shared" si="2"/>
        <v>66.569820915032892</v>
      </c>
    </row>
    <row r="163" spans="1:20" x14ac:dyDescent="0.3">
      <c r="A163">
        <v>162</v>
      </c>
      <c r="B163">
        <v>2</v>
      </c>
      <c r="C163">
        <v>1750895326.8992801</v>
      </c>
      <c r="D163">
        <v>1750895398.23737</v>
      </c>
      <c r="E163">
        <v>71.338084856396705</v>
      </c>
      <c r="F163">
        <v>1750894335</v>
      </c>
      <c r="G163">
        <v>1750894462</v>
      </c>
      <c r="H163">
        <v>126.797</v>
      </c>
      <c r="I163">
        <v>-55.4589151436032</v>
      </c>
      <c r="J163">
        <v>55.4589151436032</v>
      </c>
      <c r="K163">
        <v>55.9809134094534</v>
      </c>
      <c r="L163">
        <v>936.23737215995698</v>
      </c>
      <c r="M163">
        <v>936.23737215995698</v>
      </c>
      <c r="N163" s="3">
        <v>5.3471933469845201E-5</v>
      </c>
      <c r="O163" s="2">
        <v>45833.992209479169</v>
      </c>
      <c r="P163" s="2">
        <v>45833.993035150466</v>
      </c>
      <c r="Q163" s="1" t="s">
        <v>185</v>
      </c>
      <c r="R163" s="1" t="s">
        <v>189</v>
      </c>
      <c r="T163">
        <f t="shared" si="2"/>
        <v>55.458915143603292</v>
      </c>
    </row>
    <row r="164" spans="1:20" x14ac:dyDescent="0.3">
      <c r="A164">
        <v>163</v>
      </c>
      <c r="B164">
        <v>3</v>
      </c>
      <c r="C164">
        <v>1750895364.66365</v>
      </c>
      <c r="D164">
        <v>1750895436.0740399</v>
      </c>
      <c r="E164">
        <v>71.410391134289199</v>
      </c>
      <c r="F164">
        <v>1750894368</v>
      </c>
      <c r="G164">
        <v>1750894485</v>
      </c>
      <c r="H164">
        <v>117.224</v>
      </c>
      <c r="I164">
        <v>-45.813608865710698</v>
      </c>
      <c r="J164">
        <v>45.813608865710698</v>
      </c>
      <c r="K164">
        <v>48.5739727419014</v>
      </c>
      <c r="L164">
        <v>951.07404160499505</v>
      </c>
      <c r="M164">
        <v>951.07404160499505</v>
      </c>
      <c r="N164" s="3">
        <v>5.43193088700929E-5</v>
      </c>
      <c r="O164" s="2">
        <v>45833.992646574072</v>
      </c>
      <c r="P164" s="2">
        <v>45833.993473078706</v>
      </c>
      <c r="Q164" s="1" t="s">
        <v>186</v>
      </c>
      <c r="R164" s="1" t="s">
        <v>190</v>
      </c>
      <c r="T164">
        <f t="shared" si="2"/>
        <v>45.813608865710805</v>
      </c>
    </row>
    <row r="165" spans="1:20" x14ac:dyDescent="0.3">
      <c r="A165">
        <v>164</v>
      </c>
      <c r="B165">
        <v>2</v>
      </c>
      <c r="C165">
        <v>1750895398.23737</v>
      </c>
      <c r="D165">
        <v>1750895469.7074101</v>
      </c>
      <c r="E165">
        <v>71.4700442708331</v>
      </c>
      <c r="F165">
        <v>1750894379</v>
      </c>
      <c r="G165">
        <v>1750894505</v>
      </c>
      <c r="H165">
        <v>125.82</v>
      </c>
      <c r="I165">
        <v>-54.349955729166801</v>
      </c>
      <c r="J165">
        <v>54.349955729166801</v>
      </c>
      <c r="K165">
        <v>55.096501123550802</v>
      </c>
      <c r="L165">
        <v>964.70741653442303</v>
      </c>
      <c r="M165">
        <v>964.70741653442303</v>
      </c>
      <c r="N165" s="3">
        <v>5.5097959814967303E-5</v>
      </c>
      <c r="O165" s="2">
        <v>45833.993035150466</v>
      </c>
      <c r="P165" s="2">
        <v>45833.99386234954</v>
      </c>
      <c r="Q165" s="1" t="s">
        <v>187</v>
      </c>
      <c r="R165" s="1" t="s">
        <v>191</v>
      </c>
      <c r="T165">
        <f t="shared" si="2"/>
        <v>54.349955729166894</v>
      </c>
    </row>
    <row r="166" spans="1:20" x14ac:dyDescent="0.3">
      <c r="A166">
        <v>165</v>
      </c>
      <c r="B166">
        <v>1</v>
      </c>
      <c r="C166">
        <v>1750895434.69802</v>
      </c>
      <c r="D166">
        <v>1750895506.23874</v>
      </c>
      <c r="E166">
        <v>71.5407204161246</v>
      </c>
      <c r="F166">
        <v>1750894443</v>
      </c>
      <c r="G166">
        <v>1750894583</v>
      </c>
      <c r="H166">
        <v>140.08600000000001</v>
      </c>
      <c r="I166">
        <v>-68.545279583875299</v>
      </c>
      <c r="J166">
        <v>68.545279583875299</v>
      </c>
      <c r="K166">
        <v>64.779418637772906</v>
      </c>
      <c r="L166">
        <v>923.23874425888005</v>
      </c>
      <c r="M166">
        <v>923.23874425888005</v>
      </c>
      <c r="N166" s="3">
        <v>5.2729530938822397E-5</v>
      </c>
      <c r="O166" s="2">
        <v>45833.993457152777</v>
      </c>
      <c r="P166" s="2">
        <v>45833.994285173612</v>
      </c>
      <c r="Q166" s="1" t="s">
        <v>188</v>
      </c>
      <c r="R166" s="1" t="s">
        <v>192</v>
      </c>
      <c r="T166">
        <f t="shared" si="2"/>
        <v>68.545279583875413</v>
      </c>
    </row>
    <row r="167" spans="1:20" x14ac:dyDescent="0.3">
      <c r="A167">
        <v>166</v>
      </c>
      <c r="B167">
        <v>3</v>
      </c>
      <c r="C167">
        <v>1750895436.0740399</v>
      </c>
      <c r="D167">
        <v>1750895507.7037799</v>
      </c>
      <c r="E167">
        <v>71.629740259740103</v>
      </c>
      <c r="F167">
        <v>1750894462</v>
      </c>
      <c r="G167">
        <v>1750894574</v>
      </c>
      <c r="H167">
        <v>111.32</v>
      </c>
      <c r="I167">
        <v>-39.690259740259798</v>
      </c>
      <c r="J167">
        <v>39.690259740259798</v>
      </c>
      <c r="K167">
        <v>43.389249620043401</v>
      </c>
      <c r="L167">
        <v>933.70378184318497</v>
      </c>
      <c r="M167">
        <v>933.70378184318497</v>
      </c>
      <c r="N167" s="3">
        <v>5.3327227506960902E-5</v>
      </c>
      <c r="O167" s="2">
        <v>45833.993473078706</v>
      </c>
      <c r="P167" s="2">
        <v>45833.994302129628</v>
      </c>
      <c r="Q167" s="1" t="s">
        <v>189</v>
      </c>
      <c r="R167" s="1" t="s">
        <v>193</v>
      </c>
      <c r="T167">
        <f t="shared" si="2"/>
        <v>39.69025974025989</v>
      </c>
    </row>
    <row r="168" spans="1:20" x14ac:dyDescent="0.3">
      <c r="A168">
        <v>167</v>
      </c>
      <c r="B168">
        <v>2</v>
      </c>
      <c r="C168">
        <v>1750895469.7074101</v>
      </c>
      <c r="D168">
        <v>1750895565.3429301</v>
      </c>
      <c r="E168">
        <v>95.635519174041306</v>
      </c>
      <c r="F168">
        <v>1750894485</v>
      </c>
      <c r="G168">
        <v>1750894619</v>
      </c>
      <c r="H168">
        <v>133.09800000000001</v>
      </c>
      <c r="I168">
        <v>-37.4624808259586</v>
      </c>
      <c r="J168">
        <v>37.4624808259586</v>
      </c>
      <c r="K168">
        <v>32.756441610513399</v>
      </c>
      <c r="L168">
        <v>946.34293580055203</v>
      </c>
      <c r="M168">
        <v>946.34293580055203</v>
      </c>
      <c r="N168" s="3">
        <v>5.4049094090891102E-5</v>
      </c>
      <c r="O168" s="2">
        <v>45833.99386234954</v>
      </c>
      <c r="P168" s="2">
        <v>45833.994969247688</v>
      </c>
      <c r="Q168" s="1" t="s">
        <v>190</v>
      </c>
      <c r="R168" s="1" t="s">
        <v>194</v>
      </c>
      <c r="T168">
        <f t="shared" si="2"/>
        <v>37.462480825958707</v>
      </c>
    </row>
    <row r="169" spans="1:20" x14ac:dyDescent="0.3">
      <c r="A169">
        <v>168</v>
      </c>
      <c r="B169">
        <v>1</v>
      </c>
      <c r="C169">
        <v>1750895506.23874</v>
      </c>
      <c r="D169">
        <v>1750895601.9844401</v>
      </c>
      <c r="E169">
        <v>95.745702941176404</v>
      </c>
      <c r="F169">
        <v>1750894505</v>
      </c>
      <c r="G169">
        <v>1750894593</v>
      </c>
      <c r="H169">
        <v>87.87</v>
      </c>
      <c r="I169">
        <v>7.8757029411764803</v>
      </c>
      <c r="J169">
        <v>7.8757029411764803</v>
      </c>
      <c r="K169">
        <v>8.5784634048424007</v>
      </c>
      <c r="L169">
        <v>1008.98444724082</v>
      </c>
      <c r="M169">
        <v>1008.98444724082</v>
      </c>
      <c r="N169" s="3">
        <v>5.7626778936441098E-5</v>
      </c>
      <c r="O169" s="2">
        <v>45833.994285173612</v>
      </c>
      <c r="P169" s="2">
        <v>45833.995393333331</v>
      </c>
      <c r="Q169" s="1" t="s">
        <v>191</v>
      </c>
      <c r="R169" s="1" t="s">
        <v>195</v>
      </c>
      <c r="T169">
        <f t="shared" si="2"/>
        <v>-7.8757029411763995</v>
      </c>
    </row>
    <row r="170" spans="1:20" x14ac:dyDescent="0.3">
      <c r="A170">
        <v>169</v>
      </c>
      <c r="B170">
        <v>3</v>
      </c>
      <c r="C170">
        <v>1750895507.7037799</v>
      </c>
      <c r="D170">
        <v>1750895579.385</v>
      </c>
      <c r="E170">
        <v>71.681219195849394</v>
      </c>
      <c r="F170">
        <v>1750894574</v>
      </c>
      <c r="G170">
        <v>1750894688</v>
      </c>
      <c r="H170">
        <v>114.59399999999999</v>
      </c>
      <c r="I170">
        <v>-42.9127808041506</v>
      </c>
      <c r="J170">
        <v>42.9127808041506</v>
      </c>
      <c r="K170">
        <v>46.074599712624298</v>
      </c>
      <c r="L170">
        <v>891.385000944137</v>
      </c>
      <c r="M170">
        <v>891.385000944137</v>
      </c>
      <c r="N170" s="3">
        <v>5.0910244925078698E-5</v>
      </c>
      <c r="O170" s="2">
        <v>45833.994302129628</v>
      </c>
      <c r="P170" s="2">
        <v>45833.995131770833</v>
      </c>
      <c r="Q170" s="1" t="s">
        <v>193</v>
      </c>
      <c r="R170" s="1" t="s">
        <v>196</v>
      </c>
      <c r="T170">
        <f t="shared" si="2"/>
        <v>42.9127808041506</v>
      </c>
    </row>
    <row r="171" spans="1:20" x14ac:dyDescent="0.3">
      <c r="A171">
        <v>170</v>
      </c>
      <c r="B171">
        <v>2</v>
      </c>
      <c r="C171">
        <v>1750895565.3429301</v>
      </c>
      <c r="D171">
        <v>1750895637.07974</v>
      </c>
      <c r="E171">
        <v>71.736805699481707</v>
      </c>
      <c r="F171">
        <v>1750894583</v>
      </c>
      <c r="G171">
        <v>1750894692</v>
      </c>
      <c r="H171">
        <v>108.28700000000001</v>
      </c>
      <c r="I171">
        <v>-36.550194300518299</v>
      </c>
      <c r="J171">
        <v>36.550194300518299</v>
      </c>
      <c r="K171">
        <v>40.605956705006498</v>
      </c>
      <c r="L171">
        <v>945.07974147796597</v>
      </c>
      <c r="M171">
        <v>945.07974147796597</v>
      </c>
      <c r="N171" s="3">
        <v>5.3976946228321398E-5</v>
      </c>
      <c r="O171" s="2">
        <v>45833.994969247688</v>
      </c>
      <c r="P171" s="2">
        <v>45833.995799537035</v>
      </c>
      <c r="Q171" s="1" t="s">
        <v>192</v>
      </c>
      <c r="R171" s="1" t="s">
        <v>197</v>
      </c>
      <c r="T171">
        <f t="shared" si="2"/>
        <v>36.550194300518299</v>
      </c>
    </row>
    <row r="172" spans="1:20" x14ac:dyDescent="0.3">
      <c r="A172">
        <v>171</v>
      </c>
      <c r="B172">
        <v>3</v>
      </c>
      <c r="C172">
        <v>1750895579.385</v>
      </c>
      <c r="D172">
        <v>1750895745.1880701</v>
      </c>
      <c r="E172">
        <v>165.80306998654001</v>
      </c>
      <c r="F172">
        <v>1750894593</v>
      </c>
      <c r="G172">
        <v>1750894706</v>
      </c>
      <c r="H172">
        <v>112.819</v>
      </c>
      <c r="I172">
        <v>52.984069986540803</v>
      </c>
      <c r="J172">
        <v>52.984069986540803</v>
      </c>
      <c r="K172">
        <v>38.032931123582699</v>
      </c>
      <c r="L172">
        <v>1039.1880710124899</v>
      </c>
      <c r="M172">
        <v>1039.1880710124899</v>
      </c>
      <c r="N172" s="3">
        <v>5.93518136220815E-5</v>
      </c>
      <c r="O172" s="2">
        <v>45833.995131770833</v>
      </c>
      <c r="P172" s="2">
        <v>45833.997050787038</v>
      </c>
      <c r="Q172" s="1" t="s">
        <v>195</v>
      </c>
      <c r="R172" s="1" t="s">
        <v>198</v>
      </c>
      <c r="T172">
        <f t="shared" si="2"/>
        <v>-52.984069986540007</v>
      </c>
    </row>
    <row r="173" spans="1:20" x14ac:dyDescent="0.3">
      <c r="A173">
        <v>172</v>
      </c>
      <c r="B173">
        <v>1</v>
      </c>
      <c r="C173">
        <v>1750895601.9844401</v>
      </c>
      <c r="D173">
        <v>1750895673.7685299</v>
      </c>
      <c r="E173">
        <v>71.784089262612994</v>
      </c>
      <c r="F173">
        <v>1750894619</v>
      </c>
      <c r="G173">
        <v>1750894740</v>
      </c>
      <c r="H173">
        <v>121.629</v>
      </c>
      <c r="I173">
        <v>-49.844910737386897</v>
      </c>
      <c r="J173">
        <v>49.844910737386897</v>
      </c>
      <c r="K173">
        <v>51.542437926430402</v>
      </c>
      <c r="L173">
        <v>933.76853656768799</v>
      </c>
      <c r="M173">
        <v>933.76853656768799</v>
      </c>
      <c r="N173" s="3">
        <v>5.33309208281708E-5</v>
      </c>
      <c r="O173" s="2">
        <v>45833.995393333331</v>
      </c>
      <c r="P173" s="2">
        <v>45833.996224178241</v>
      </c>
      <c r="Q173" s="1" t="s">
        <v>194</v>
      </c>
      <c r="R173" s="1" t="s">
        <v>199</v>
      </c>
      <c r="T173">
        <f t="shared" si="2"/>
        <v>49.844910737387011</v>
      </c>
    </row>
    <row r="174" spans="1:20" x14ac:dyDescent="0.3">
      <c r="A174">
        <v>173</v>
      </c>
      <c r="B174">
        <v>2</v>
      </c>
      <c r="C174">
        <v>1750895637.07974</v>
      </c>
      <c r="D174">
        <v>1750895732.80234</v>
      </c>
      <c r="E174">
        <v>95.722607038123101</v>
      </c>
      <c r="F174">
        <v>1750894688</v>
      </c>
      <c r="G174">
        <v>1750894800</v>
      </c>
      <c r="H174">
        <v>112.129</v>
      </c>
      <c r="I174">
        <v>-16.406392961876801</v>
      </c>
      <c r="J174">
        <v>16.406392961876801</v>
      </c>
      <c r="K174">
        <v>15.7866404745839</v>
      </c>
      <c r="L174">
        <v>932.80234861373901</v>
      </c>
      <c r="M174">
        <v>932.80234861373901</v>
      </c>
      <c r="N174" s="3">
        <v>5.3275736505418699E-5</v>
      </c>
      <c r="O174" s="2">
        <v>45833.995799537035</v>
      </c>
      <c r="P174" s="2">
        <v>45833.996907430555</v>
      </c>
      <c r="Q174" s="1" t="s">
        <v>196</v>
      </c>
      <c r="R174" s="1" t="s">
        <v>200</v>
      </c>
      <c r="T174">
        <f t="shared" si="2"/>
        <v>16.406392961876904</v>
      </c>
    </row>
    <row r="175" spans="1:20" x14ac:dyDescent="0.3">
      <c r="A175">
        <v>174</v>
      </c>
      <c r="B175">
        <v>1</v>
      </c>
      <c r="C175">
        <v>1750895673.7685299</v>
      </c>
      <c r="D175">
        <v>1750895745.6170199</v>
      </c>
      <c r="E175">
        <v>71.848488372092802</v>
      </c>
      <c r="F175">
        <v>1750894692</v>
      </c>
      <c r="G175">
        <v>1750894718</v>
      </c>
      <c r="H175">
        <v>26.492000000000001</v>
      </c>
      <c r="I175">
        <v>45.356488372092798</v>
      </c>
      <c r="J175">
        <v>45.356488372092798</v>
      </c>
      <c r="K175">
        <v>92.243772881168894</v>
      </c>
      <c r="L175">
        <v>1027.61702489852</v>
      </c>
      <c r="M175">
        <v>1027.61702489852</v>
      </c>
      <c r="N175" s="3">
        <v>5.8690948848898001E-5</v>
      </c>
      <c r="O175" s="2">
        <v>45833.996224178241</v>
      </c>
      <c r="P175" s="2">
        <v>45833.997055752312</v>
      </c>
      <c r="Q175" s="1" t="s">
        <v>197</v>
      </c>
      <c r="R175" s="1" t="s">
        <v>201</v>
      </c>
      <c r="T175">
        <f t="shared" si="2"/>
        <v>-45.356488372092798</v>
      </c>
    </row>
    <row r="176" spans="1:20" x14ac:dyDescent="0.3">
      <c r="A176">
        <v>175</v>
      </c>
      <c r="B176">
        <v>2</v>
      </c>
      <c r="C176">
        <v>1750895732.80234</v>
      </c>
      <c r="D176">
        <v>1750895804.59231</v>
      </c>
      <c r="E176">
        <v>71.789963870967497</v>
      </c>
      <c r="F176">
        <v>1750894706</v>
      </c>
      <c r="G176">
        <v>1750894787</v>
      </c>
      <c r="H176">
        <v>81.837999999999994</v>
      </c>
      <c r="I176">
        <v>-10.048036129032401</v>
      </c>
      <c r="J176">
        <v>10.048036129032401</v>
      </c>
      <c r="K176">
        <v>13.080998896101701</v>
      </c>
      <c r="L176">
        <v>1017.59231257438</v>
      </c>
      <c r="M176">
        <v>1017.59231257438</v>
      </c>
      <c r="N176" s="3">
        <v>5.81183989138352E-5</v>
      </c>
      <c r="O176" s="2">
        <v>45833.996907430555</v>
      </c>
      <c r="P176" s="2">
        <v>45833.997738333332</v>
      </c>
      <c r="Q176" s="1" t="s">
        <v>198</v>
      </c>
      <c r="R176" s="1" t="s">
        <v>202</v>
      </c>
      <c r="T176">
        <f t="shared" si="2"/>
        <v>10.048036129032496</v>
      </c>
    </row>
    <row r="177" spans="1:20" x14ac:dyDescent="0.3">
      <c r="A177">
        <v>176</v>
      </c>
      <c r="B177">
        <v>3</v>
      </c>
      <c r="C177">
        <v>1750895745.1880701</v>
      </c>
      <c r="D177">
        <v>1750895816.9909799</v>
      </c>
      <c r="E177">
        <v>71.8029123711338</v>
      </c>
      <c r="F177">
        <v>1750894718</v>
      </c>
      <c r="G177">
        <v>1750894825</v>
      </c>
      <c r="H177">
        <v>106.398</v>
      </c>
      <c r="I177">
        <v>-34.595087628866096</v>
      </c>
      <c r="J177">
        <v>34.595087628866096</v>
      </c>
      <c r="K177">
        <v>38.827060050978801</v>
      </c>
      <c r="L177">
        <v>991.99098348617497</v>
      </c>
      <c r="M177">
        <v>991.99098348617497</v>
      </c>
      <c r="N177" s="3">
        <v>5.6656213058023699E-5</v>
      </c>
      <c r="O177" s="2">
        <v>45833.997050787038</v>
      </c>
      <c r="P177" s="2">
        <v>45833.997881840274</v>
      </c>
      <c r="Q177" s="1" t="s">
        <v>201</v>
      </c>
      <c r="R177" s="1" t="s">
        <v>203</v>
      </c>
      <c r="T177">
        <f t="shared" si="2"/>
        <v>34.595087628866196</v>
      </c>
    </row>
    <row r="178" spans="1:20" x14ac:dyDescent="0.3">
      <c r="A178">
        <v>177</v>
      </c>
      <c r="B178">
        <v>1</v>
      </c>
      <c r="C178">
        <v>1750895745.6170199</v>
      </c>
      <c r="D178">
        <v>1750895911.34887</v>
      </c>
      <c r="E178">
        <v>165.73185483870901</v>
      </c>
      <c r="F178">
        <v>1750894740</v>
      </c>
      <c r="G178">
        <v>1750894878</v>
      </c>
      <c r="H178">
        <v>137.52500000000001</v>
      </c>
      <c r="I178">
        <v>28.2068548387094</v>
      </c>
      <c r="J178">
        <v>28.2068548387094</v>
      </c>
      <c r="K178">
        <v>18.602616487407399</v>
      </c>
      <c r="L178">
        <v>1033.34887981414</v>
      </c>
      <c r="M178">
        <v>1033.34887981414</v>
      </c>
      <c r="N178" s="3">
        <v>5.9018310457449499E-5</v>
      </c>
      <c r="O178" s="2">
        <v>45833.997055752312</v>
      </c>
      <c r="P178" s="2">
        <v>45833.998973946756</v>
      </c>
      <c r="Q178" s="1" t="s">
        <v>199</v>
      </c>
      <c r="R178" s="1" t="s">
        <v>204</v>
      </c>
      <c r="T178">
        <f t="shared" si="2"/>
        <v>-28.206854838709006</v>
      </c>
    </row>
    <row r="179" spans="1:20" x14ac:dyDescent="0.3">
      <c r="A179">
        <v>178</v>
      </c>
      <c r="B179">
        <v>2</v>
      </c>
      <c r="C179">
        <v>1750895804.59231</v>
      </c>
      <c r="D179">
        <v>1750895970.2862999</v>
      </c>
      <c r="E179">
        <v>165.69399328859001</v>
      </c>
      <c r="F179">
        <v>1750894787</v>
      </c>
      <c r="G179">
        <v>1750894935</v>
      </c>
      <c r="H179">
        <v>147.929</v>
      </c>
      <c r="I179">
        <v>17.7649932885904</v>
      </c>
      <c r="J179">
        <v>17.7649932885904</v>
      </c>
      <c r="K179">
        <v>11.3288844687757</v>
      </c>
      <c r="L179">
        <v>1035.28630590438</v>
      </c>
      <c r="M179">
        <v>1035.28630590438</v>
      </c>
      <c r="N179" s="3">
        <v>5.9128961945815701E-5</v>
      </c>
      <c r="O179" s="2">
        <v>45833.997738333332</v>
      </c>
      <c r="P179" s="2">
        <v>45833.999656087966</v>
      </c>
      <c r="Q179" s="1" t="s">
        <v>202</v>
      </c>
      <c r="R179" s="1" t="s">
        <v>205</v>
      </c>
      <c r="T179">
        <f t="shared" si="2"/>
        <v>-17.764993288590006</v>
      </c>
    </row>
    <row r="180" spans="1:20" x14ac:dyDescent="0.3">
      <c r="A180">
        <v>179</v>
      </c>
      <c r="B180">
        <v>3</v>
      </c>
      <c r="C180">
        <v>1750895816.9909799</v>
      </c>
      <c r="D180">
        <v>1750895982.66116</v>
      </c>
      <c r="E180">
        <v>165.670179624664</v>
      </c>
      <c r="F180">
        <v>1750894800</v>
      </c>
      <c r="G180">
        <v>1750895020</v>
      </c>
      <c r="H180">
        <v>219.739</v>
      </c>
      <c r="I180">
        <v>-54.0688203753352</v>
      </c>
      <c r="J180">
        <v>54.0688203753352</v>
      </c>
      <c r="K180">
        <v>28.0578788642195</v>
      </c>
      <c r="L180">
        <v>962.66116309165898</v>
      </c>
      <c r="M180">
        <v>962.66116309165898</v>
      </c>
      <c r="N180" s="3">
        <v>5.4981074676363699E-5</v>
      </c>
      <c r="O180" s="2">
        <v>45833.997881840274</v>
      </c>
      <c r="P180" s="2">
        <v>45833.999799317127</v>
      </c>
      <c r="Q180" s="1" t="s">
        <v>200</v>
      </c>
      <c r="R180" s="1" t="s">
        <v>206</v>
      </c>
      <c r="T180">
        <f t="shared" si="2"/>
        <v>54.068820375336003</v>
      </c>
    </row>
    <row r="181" spans="1:20" x14ac:dyDescent="0.3">
      <c r="A181">
        <v>180</v>
      </c>
      <c r="B181">
        <v>1</v>
      </c>
      <c r="C181">
        <v>1750895911.34887</v>
      </c>
      <c r="D181">
        <v>1750896007.1194501</v>
      </c>
      <c r="E181">
        <v>95.770578947368406</v>
      </c>
      <c r="F181">
        <v>1750894825</v>
      </c>
      <c r="G181">
        <v>1750894926</v>
      </c>
      <c r="H181">
        <v>100.944</v>
      </c>
      <c r="I181">
        <v>-5.1734210526315598</v>
      </c>
      <c r="J181">
        <v>5.1734210526315598</v>
      </c>
      <c r="K181">
        <v>5.2598247474232496</v>
      </c>
      <c r="L181">
        <v>1081.11945867538</v>
      </c>
      <c r="M181">
        <v>1081.11945867538</v>
      </c>
      <c r="N181" s="3">
        <v>6.1746659313684595E-5</v>
      </c>
      <c r="O181" s="2">
        <v>45833.998973946756</v>
      </c>
      <c r="P181" s="2">
        <v>45834.000082395833</v>
      </c>
      <c r="Q181" s="1" t="s">
        <v>203</v>
      </c>
      <c r="R181" s="1" t="s">
        <v>207</v>
      </c>
      <c r="T181">
        <f t="shared" si="2"/>
        <v>5.1734210526315962</v>
      </c>
    </row>
    <row r="182" spans="1:20" x14ac:dyDescent="0.3">
      <c r="A182">
        <v>181</v>
      </c>
      <c r="B182">
        <v>2</v>
      </c>
      <c r="C182">
        <v>1750895970.2862999</v>
      </c>
      <c r="D182">
        <v>1750896066.07196</v>
      </c>
      <c r="E182">
        <v>95.785661807580098</v>
      </c>
      <c r="F182">
        <v>1750894878</v>
      </c>
      <c r="G182">
        <v>1750894985</v>
      </c>
      <c r="H182">
        <v>107.527</v>
      </c>
      <c r="I182">
        <v>-11.7413381924198</v>
      </c>
      <c r="J182">
        <v>11.7413381924198</v>
      </c>
      <c r="K182">
        <v>11.5500314520815</v>
      </c>
      <c r="L182">
        <v>1081.07196760177</v>
      </c>
      <c r="M182">
        <v>1081.07196760177</v>
      </c>
      <c r="N182" s="3">
        <v>6.1743944846214501E-5</v>
      </c>
      <c r="O182" s="2">
        <v>45833.999656087966</v>
      </c>
      <c r="P182" s="2">
        <v>45834.000764722223</v>
      </c>
      <c r="Q182" s="1" t="s">
        <v>204</v>
      </c>
      <c r="R182" s="1" t="s">
        <v>208</v>
      </c>
      <c r="T182">
        <f t="shared" si="2"/>
        <v>11.741338192419903</v>
      </c>
    </row>
    <row r="183" spans="1:20" x14ac:dyDescent="0.3">
      <c r="A183">
        <v>182</v>
      </c>
      <c r="B183">
        <v>3</v>
      </c>
      <c r="C183">
        <v>1750895982.66116</v>
      </c>
      <c r="D183">
        <v>1750896148.4037199</v>
      </c>
      <c r="E183">
        <v>165.74256091030699</v>
      </c>
      <c r="F183">
        <v>1750894926</v>
      </c>
      <c r="G183">
        <v>1750895033</v>
      </c>
      <c r="H183">
        <v>107.712</v>
      </c>
      <c r="I183">
        <v>58.030560910307699</v>
      </c>
      <c r="J183">
        <v>58.030560910307699</v>
      </c>
      <c r="K183">
        <v>42.442562096699902</v>
      </c>
      <c r="L183">
        <v>1115.4037239551501</v>
      </c>
      <c r="M183">
        <v>1115.4037239551501</v>
      </c>
      <c r="N183" s="3">
        <v>6.37047537202395E-5</v>
      </c>
      <c r="O183" s="2">
        <v>45833.999799317127</v>
      </c>
      <c r="P183" s="2">
        <v>45834.001717638886</v>
      </c>
      <c r="Q183" s="1" t="s">
        <v>207</v>
      </c>
      <c r="R183" s="1" t="s">
        <v>209</v>
      </c>
      <c r="T183">
        <f t="shared" si="2"/>
        <v>-58.030560910306988</v>
      </c>
    </row>
    <row r="184" spans="1:20" x14ac:dyDescent="0.3">
      <c r="A184">
        <v>183</v>
      </c>
      <c r="B184">
        <v>1</v>
      </c>
      <c r="C184">
        <v>1750896007.1194501</v>
      </c>
      <c r="D184">
        <v>1750896102.93925</v>
      </c>
      <c r="E184">
        <v>95.819793604651096</v>
      </c>
      <c r="F184">
        <v>1750894935</v>
      </c>
      <c r="G184">
        <v>1750895033</v>
      </c>
      <c r="H184">
        <v>98.052999999999997</v>
      </c>
      <c r="I184">
        <v>-2.2332063953488301</v>
      </c>
      <c r="J184">
        <v>2.2332063953488301</v>
      </c>
      <c r="K184">
        <v>2.3037852334276701</v>
      </c>
      <c r="L184">
        <v>1069.93925237655</v>
      </c>
      <c r="M184">
        <v>1069.93925237655</v>
      </c>
      <c r="N184" s="3">
        <v>6.1108113581969905E-5</v>
      </c>
      <c r="O184" s="2">
        <v>45834.000082395833</v>
      </c>
      <c r="P184" s="2">
        <v>45834.001191423609</v>
      </c>
      <c r="Q184" s="1" t="s">
        <v>205</v>
      </c>
      <c r="R184" s="1" t="s">
        <v>209</v>
      </c>
      <c r="T184">
        <f t="shared" si="2"/>
        <v>2.2332063953489012</v>
      </c>
    </row>
    <row r="185" spans="1:20" x14ac:dyDescent="0.3">
      <c r="A185">
        <v>184</v>
      </c>
      <c r="B185">
        <v>2</v>
      </c>
      <c r="C185">
        <v>1750896066.07196</v>
      </c>
      <c r="D185">
        <v>1750896231.7369399</v>
      </c>
      <c r="E185">
        <v>165.664979946523</v>
      </c>
      <c r="F185">
        <v>1750894985</v>
      </c>
      <c r="G185">
        <v>1750895093</v>
      </c>
      <c r="H185">
        <v>108.124</v>
      </c>
      <c r="I185">
        <v>57.540979946523798</v>
      </c>
      <c r="J185">
        <v>57.540979946523798</v>
      </c>
      <c r="K185">
        <v>42.033086910775303</v>
      </c>
      <c r="L185">
        <v>1138.7369475364601</v>
      </c>
      <c r="M185">
        <v>1138.7369475364601</v>
      </c>
      <c r="N185" s="3">
        <v>6.5037396117371998E-5</v>
      </c>
      <c r="O185" s="2">
        <v>45834.000764722223</v>
      </c>
      <c r="P185" s="2">
        <v>45834.002682141203</v>
      </c>
      <c r="Q185" s="1" t="s">
        <v>208</v>
      </c>
      <c r="R185" s="1" t="s">
        <v>210</v>
      </c>
      <c r="T185">
        <f t="shared" si="2"/>
        <v>-57.540979946523009</v>
      </c>
    </row>
    <row r="186" spans="1:20" x14ac:dyDescent="0.3">
      <c r="A186">
        <v>185</v>
      </c>
      <c r="B186">
        <v>1</v>
      </c>
      <c r="C186">
        <v>1750896102.93925</v>
      </c>
      <c r="D186">
        <v>1750896268.5274</v>
      </c>
      <c r="E186">
        <v>165.58815620827701</v>
      </c>
      <c r="F186">
        <v>1750895020</v>
      </c>
      <c r="G186">
        <v>1750895156</v>
      </c>
      <c r="H186">
        <v>135.864</v>
      </c>
      <c r="I186">
        <v>29.724156208277499</v>
      </c>
      <c r="J186">
        <v>29.724156208277499</v>
      </c>
      <c r="K186">
        <v>19.720645944055299</v>
      </c>
      <c r="L186">
        <v>1112.5274085998501</v>
      </c>
      <c r="M186">
        <v>1112.5274085998501</v>
      </c>
      <c r="N186" s="3">
        <v>6.3540472502584698E-5</v>
      </c>
      <c r="O186" s="2">
        <v>45834.001191423609</v>
      </c>
      <c r="P186" s="2">
        <v>45834.003107951386</v>
      </c>
      <c r="Q186" s="1" t="s">
        <v>206</v>
      </c>
      <c r="R186" s="1" t="s">
        <v>211</v>
      </c>
      <c r="T186">
        <f t="shared" si="2"/>
        <v>-29.724156208277009</v>
      </c>
    </row>
    <row r="187" spans="1:20" x14ac:dyDescent="0.3">
      <c r="A187">
        <v>186</v>
      </c>
      <c r="B187">
        <v>3</v>
      </c>
      <c r="C187">
        <v>1750896148.4037199</v>
      </c>
      <c r="D187">
        <v>1750896313.95224</v>
      </c>
      <c r="E187">
        <v>165.54852399999899</v>
      </c>
      <c r="F187">
        <v>1750895033</v>
      </c>
      <c r="G187">
        <v>1750895173</v>
      </c>
      <c r="H187">
        <v>139.435</v>
      </c>
      <c r="I187">
        <v>26.113523999999799</v>
      </c>
      <c r="J187">
        <v>26.113523999999799</v>
      </c>
      <c r="K187">
        <v>17.1245473575155</v>
      </c>
      <c r="L187">
        <v>1140.95224785804</v>
      </c>
      <c r="M187">
        <v>1140.95224785804</v>
      </c>
      <c r="N187" s="3">
        <v>6.5163916932762004E-5</v>
      </c>
      <c r="O187" s="2">
        <v>45834.001717638886</v>
      </c>
      <c r="P187" s="2">
        <v>45834.003633703702</v>
      </c>
      <c r="Q187" s="1" t="s">
        <v>209</v>
      </c>
      <c r="R187" s="1" t="s">
        <v>212</v>
      </c>
      <c r="T187">
        <f t="shared" si="2"/>
        <v>-26.113523999998989</v>
      </c>
    </row>
    <row r="188" spans="1:20" x14ac:dyDescent="0.3">
      <c r="A188">
        <v>187</v>
      </c>
      <c r="B188">
        <v>2</v>
      </c>
      <c r="C188">
        <v>1750896231.7369399</v>
      </c>
      <c r="D188">
        <v>1750896327.56321</v>
      </c>
      <c r="E188">
        <v>95.826266666666598</v>
      </c>
      <c r="F188">
        <v>1750895033</v>
      </c>
      <c r="G188">
        <v>1750895130</v>
      </c>
      <c r="H188">
        <v>96.68</v>
      </c>
      <c r="I188">
        <v>-0.85373333333333701</v>
      </c>
      <c r="J188">
        <v>0.85373333333333701</v>
      </c>
      <c r="K188">
        <v>0.886966796578748</v>
      </c>
      <c r="L188">
        <v>1197.56321430206</v>
      </c>
      <c r="M188">
        <v>1197.56321430206</v>
      </c>
      <c r="N188" s="3">
        <v>6.8397174921170704E-5</v>
      </c>
      <c r="O188" s="2">
        <v>45834.002682141203</v>
      </c>
      <c r="P188" s="2">
        <v>45834.003791238429</v>
      </c>
      <c r="Q188" s="1" t="s">
        <v>209</v>
      </c>
      <c r="R188" s="1" t="s">
        <v>213</v>
      </c>
      <c r="T188">
        <f t="shared" si="2"/>
        <v>0.85373333333340895</v>
      </c>
    </row>
    <row r="189" spans="1:20" x14ac:dyDescent="0.3">
      <c r="A189">
        <v>188</v>
      </c>
      <c r="B189">
        <v>1</v>
      </c>
      <c r="C189">
        <v>1750896268.5274</v>
      </c>
      <c r="D189">
        <v>1750896434.0411601</v>
      </c>
      <c r="E189">
        <v>165.513752330226</v>
      </c>
      <c r="F189">
        <v>1750895093</v>
      </c>
      <c r="G189">
        <v>1750895228</v>
      </c>
      <c r="H189">
        <v>134.81899999999999</v>
      </c>
      <c r="I189">
        <v>30.694752330226098</v>
      </c>
      <c r="J189">
        <v>30.694752330226098</v>
      </c>
      <c r="K189">
        <v>20.440496144407302</v>
      </c>
      <c r="L189">
        <v>1206.0411608219099</v>
      </c>
      <c r="M189">
        <v>1206.0411608219099</v>
      </c>
      <c r="N189" s="3">
        <v>6.8881377147315704E-5</v>
      </c>
      <c r="O189" s="2">
        <v>45834.003107951386</v>
      </c>
      <c r="P189" s="2">
        <v>45834.005023622682</v>
      </c>
      <c r="Q189" s="1" t="s">
        <v>210</v>
      </c>
      <c r="R189" s="1" t="s">
        <v>214</v>
      </c>
      <c r="T189">
        <f t="shared" si="2"/>
        <v>-30.694752330226009</v>
      </c>
    </row>
    <row r="190" spans="1:20" x14ac:dyDescent="0.3">
      <c r="A190">
        <v>189</v>
      </c>
      <c r="B190">
        <v>3</v>
      </c>
      <c r="C190">
        <v>1750896313.95224</v>
      </c>
      <c r="D190">
        <v>1750896409.7809801</v>
      </c>
      <c r="E190">
        <v>95.828734104046205</v>
      </c>
      <c r="F190">
        <v>1750895130</v>
      </c>
      <c r="G190">
        <v>1750895234</v>
      </c>
      <c r="H190">
        <v>103.7</v>
      </c>
      <c r="I190">
        <v>-7.8712658959537496</v>
      </c>
      <c r="J190">
        <v>7.8712658959537496</v>
      </c>
      <c r="K190">
        <v>7.8898569985906901</v>
      </c>
      <c r="L190">
        <v>1175.78098201751</v>
      </c>
      <c r="M190">
        <v>1175.78098201751</v>
      </c>
      <c r="N190" s="3">
        <v>6.7153109129473699E-5</v>
      </c>
      <c r="O190" s="2">
        <v>45834.003633703702</v>
      </c>
      <c r="P190" s="2">
        <v>45834.004742835648</v>
      </c>
      <c r="Q190" s="1" t="s">
        <v>213</v>
      </c>
      <c r="R190" s="1" t="s">
        <v>215</v>
      </c>
      <c r="T190">
        <f t="shared" si="2"/>
        <v>7.8712658959537976</v>
      </c>
    </row>
    <row r="191" spans="1:20" x14ac:dyDescent="0.3">
      <c r="A191">
        <v>190</v>
      </c>
      <c r="B191">
        <v>2</v>
      </c>
      <c r="C191">
        <v>1750896327.56321</v>
      </c>
      <c r="D191">
        <v>1750896493.03614</v>
      </c>
      <c r="E191">
        <v>165.47293484042501</v>
      </c>
      <c r="F191">
        <v>1750895156</v>
      </c>
      <c r="G191">
        <v>1750895292</v>
      </c>
      <c r="H191">
        <v>135.60499999999999</v>
      </c>
      <c r="I191">
        <v>29.867934840425299</v>
      </c>
      <c r="J191">
        <v>29.867934840425299</v>
      </c>
      <c r="K191">
        <v>19.840666740494001</v>
      </c>
      <c r="L191">
        <v>1201.03614902496</v>
      </c>
      <c r="M191">
        <v>1201.03614902496</v>
      </c>
      <c r="N191" s="3">
        <v>6.8595520393715495E-5</v>
      </c>
      <c r="O191" s="2">
        <v>45834.003791238429</v>
      </c>
      <c r="P191" s="2">
        <v>45834.005706435186</v>
      </c>
      <c r="Q191" s="1" t="s">
        <v>211</v>
      </c>
      <c r="R191" s="1" t="s">
        <v>216</v>
      </c>
      <c r="T191">
        <f t="shared" si="2"/>
        <v>-29.867934840425022</v>
      </c>
    </row>
    <row r="192" spans="1:20" x14ac:dyDescent="0.3">
      <c r="A192">
        <v>191</v>
      </c>
      <c r="B192">
        <v>3</v>
      </c>
      <c r="C192">
        <v>1750896409.7809801</v>
      </c>
      <c r="D192">
        <v>1750896575.2142501</v>
      </c>
      <c r="E192">
        <v>165.43326958831301</v>
      </c>
      <c r="F192">
        <v>1750895173</v>
      </c>
      <c r="G192">
        <v>1750895283</v>
      </c>
      <c r="H192">
        <v>109.93600000000001</v>
      </c>
      <c r="I192">
        <v>55.497269588313202</v>
      </c>
      <c r="J192">
        <v>55.497269588313202</v>
      </c>
      <c r="K192">
        <v>40.307525724481501</v>
      </c>
      <c r="L192">
        <v>1292.21425151824</v>
      </c>
      <c r="M192">
        <v>1292.21425151824</v>
      </c>
      <c r="N192" s="3">
        <v>7.3803030210780002E-5</v>
      </c>
      <c r="O192" s="2">
        <v>45834.004742835648</v>
      </c>
      <c r="P192" s="2">
        <v>45834.006657569444</v>
      </c>
      <c r="Q192" s="1" t="s">
        <v>212</v>
      </c>
      <c r="R192" s="1" t="s">
        <v>217</v>
      </c>
      <c r="T192">
        <f t="shared" si="2"/>
        <v>-55.497269588313003</v>
      </c>
    </row>
    <row r="193" spans="1:20" x14ac:dyDescent="0.3">
      <c r="A193">
        <v>192</v>
      </c>
      <c r="B193">
        <v>1</v>
      </c>
      <c r="C193">
        <v>1750896434.0411601</v>
      </c>
      <c r="D193">
        <v>1750896599.40082</v>
      </c>
      <c r="E193">
        <v>165.35966578249301</v>
      </c>
      <c r="F193">
        <v>1750895228</v>
      </c>
      <c r="G193">
        <v>1750895332</v>
      </c>
      <c r="H193">
        <v>103.33199999999999</v>
      </c>
      <c r="I193">
        <v>62.027665782493102</v>
      </c>
      <c r="J193">
        <v>62.027665782493102</v>
      </c>
      <c r="K193">
        <v>46.170144951726698</v>
      </c>
      <c r="L193">
        <v>1267.40082669258</v>
      </c>
      <c r="M193">
        <v>1267.40082669258</v>
      </c>
      <c r="N193" s="3">
        <v>7.2385844248923204E-5</v>
      </c>
      <c r="O193" s="2">
        <v>45834.005023622682</v>
      </c>
      <c r="P193" s="2">
        <v>45834.006937511571</v>
      </c>
      <c r="Q193" s="1" t="s">
        <v>214</v>
      </c>
      <c r="R193" s="1" t="s">
        <v>218</v>
      </c>
      <c r="T193">
        <f t="shared" si="2"/>
        <v>-62.027665782493017</v>
      </c>
    </row>
    <row r="194" spans="1:20" x14ac:dyDescent="0.3">
      <c r="A194">
        <v>193</v>
      </c>
      <c r="B194">
        <v>2</v>
      </c>
      <c r="C194">
        <v>1750896493.03614</v>
      </c>
      <c r="D194">
        <v>1750896588.8875599</v>
      </c>
      <c r="E194">
        <v>95.851417867435103</v>
      </c>
      <c r="F194">
        <v>1750895234</v>
      </c>
      <c r="G194">
        <v>1750895334</v>
      </c>
      <c r="H194">
        <v>99.566999999999993</v>
      </c>
      <c r="I194">
        <v>-3.7155821325648302</v>
      </c>
      <c r="J194">
        <v>3.7155821325648302</v>
      </c>
      <c r="K194">
        <v>3.80269390481438</v>
      </c>
      <c r="L194">
        <v>1254.88756680488</v>
      </c>
      <c r="M194">
        <v>1254.88756680488</v>
      </c>
      <c r="N194" s="3">
        <v>7.16711669018934E-5</v>
      </c>
      <c r="O194" s="2">
        <v>45834.005706435186</v>
      </c>
      <c r="P194" s="2">
        <v>45834.006815833331</v>
      </c>
      <c r="Q194" s="1" t="s">
        <v>215</v>
      </c>
      <c r="R194" s="1" t="s">
        <v>219</v>
      </c>
      <c r="T194">
        <f t="shared" si="2"/>
        <v>3.7155821325648901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Michalowski</dc:creator>
  <cp:lastModifiedBy>Szymon Michalowski</cp:lastModifiedBy>
  <dcterms:created xsi:type="dcterms:W3CDTF">2015-06-05T18:19:34Z</dcterms:created>
  <dcterms:modified xsi:type="dcterms:W3CDTF">2026-06-18T11:21:36Z</dcterms:modified>
</cp:coreProperties>
</file>