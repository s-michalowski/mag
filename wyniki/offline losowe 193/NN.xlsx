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e2b8ec1b16a9a7/Pulpit/Magisterka/Dane do pracy/Wyniki symulacji 1/offline losowe 193/"/>
    </mc:Choice>
  </mc:AlternateContent>
  <xr:revisionPtr revIDLastSave="18" documentId="11_AD4DADEC636C813AC809E415181B7BC65BDEDD96" xr6:coauthVersionLast="47" xr6:coauthVersionMax="47" xr10:uidLastSave="{F0801A33-B257-4E34-A700-1145778C6005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4" i="1" l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X2" i="1"/>
  <c r="W2" i="1"/>
  <c r="V2" i="1"/>
  <c r="U2" i="1"/>
  <c r="T2" i="1"/>
</calcChain>
</file>

<file path=xl/sharedStrings.xml><?xml version="1.0" encoding="utf-8"?>
<sst xmlns="http://schemas.openxmlformats.org/spreadsheetml/2006/main" count="409" uniqueCount="225">
  <si>
    <t>queue_position</t>
  </si>
  <si>
    <t>worker_id</t>
  </si>
  <si>
    <t>predicted_start_time</t>
  </si>
  <si>
    <t>predicted_end_time</t>
  </si>
  <si>
    <t>predicted_duration_seconds</t>
  </si>
  <si>
    <t>real_start_time</t>
  </si>
  <si>
    <t>real_end_time</t>
  </si>
  <si>
    <t>real_duration_seconds</t>
  </si>
  <si>
    <t>duration_error_seconds</t>
  </si>
  <si>
    <t>duration_abs_error_seconds</t>
  </si>
  <si>
    <t>duration_smape</t>
  </si>
  <si>
    <t>end_time_error_seconds</t>
  </si>
  <si>
    <t>end_time_abs_error_seconds</t>
  </si>
  <si>
    <t>end_time_smape</t>
  </si>
  <si>
    <t>predicted_start_datetime</t>
  </si>
  <si>
    <t>predicted_end_datetime</t>
  </si>
  <si>
    <t>real_start_datetime</t>
  </si>
  <si>
    <t>real_end_datetime</t>
  </si>
  <si>
    <t>25,06,2025  22:39:34</t>
  </si>
  <si>
    <t>25,06,2025  22:42:54</t>
  </si>
  <si>
    <t>25,06,2025  22:40:14</t>
  </si>
  <si>
    <t>25,06,2025  22:43:07</t>
  </si>
  <si>
    <t>25,06,2025  22:41:32</t>
  </si>
  <si>
    <t>25,06,2025  22:44:37</t>
  </si>
  <si>
    <t>25,06,2025  22:44:47</t>
  </si>
  <si>
    <t>25,06,2025  22:45:00</t>
  </si>
  <si>
    <t>25,06,2025  22:44:04</t>
  </si>
  <si>
    <t>25,06,2025  22:46:23</t>
  </si>
  <si>
    <t>25,06,2025  22:47:10</t>
  </si>
  <si>
    <t>25,06,2025  22:46:52</t>
  </si>
  <si>
    <t>25,06,2025  22:47:03</t>
  </si>
  <si>
    <t>25,06,2025  22:48:18</t>
  </si>
  <si>
    <t>25,06,2025  22:50:03</t>
  </si>
  <si>
    <t>25,06,2025  22:49:34</t>
  </si>
  <si>
    <t>25,06,2025  22:49:18</t>
  </si>
  <si>
    <t>25,06,2025  22:48:17</t>
  </si>
  <si>
    <t>25,06,2025  22:50:13</t>
  </si>
  <si>
    <t>25,06,2025  22:51:13</t>
  </si>
  <si>
    <t>25,06,2025  22:51:31</t>
  </si>
  <si>
    <t>25,06,2025  22:52:32</t>
  </si>
  <si>
    <t>25,06,2025  22:51:08</t>
  </si>
  <si>
    <t>25,06,2025  22:52:42</t>
  </si>
  <si>
    <t>25,06,2025  22:52:49</t>
  </si>
  <si>
    <t>25,06,2025  22:52:55</t>
  </si>
  <si>
    <t>25,06,2025  22:53:38</t>
  </si>
  <si>
    <t>25,06,2025  22:54:04</t>
  </si>
  <si>
    <t>25,06,2025  22:54:03</t>
  </si>
  <si>
    <t>25,06,2025  22:54:41</t>
  </si>
  <si>
    <t>25,06,2025  22:54:23</t>
  </si>
  <si>
    <t>25,06,2025  22:54:46</t>
  </si>
  <si>
    <t>25,06,2025  22:55:32</t>
  </si>
  <si>
    <t>25,06,2025  22:55:27</t>
  </si>
  <si>
    <t>25,06,2025  22:55:24</t>
  </si>
  <si>
    <t>25,06,2025  22:55:38</t>
  </si>
  <si>
    <t>25,06,2025  22:56:32</t>
  </si>
  <si>
    <t>25,06,2025  22:56:40</t>
  </si>
  <si>
    <t>25,06,2025  22:56:43</t>
  </si>
  <si>
    <t>25,06,2025  22:56:46</t>
  </si>
  <si>
    <t>25,06,2025  22:57:39</t>
  </si>
  <si>
    <t>25,06,2025  22:57:44</t>
  </si>
  <si>
    <t>25,06,2025  22:57:52</t>
  </si>
  <si>
    <t>25,06,2025  22:57:50</t>
  </si>
  <si>
    <t>25,06,2025  22:57:38</t>
  </si>
  <si>
    <t>25,06,2025  22:58:43</t>
  </si>
  <si>
    <t>25,06,2025  22:58:53</t>
  </si>
  <si>
    <t>25,06,2025  22:58:55</t>
  </si>
  <si>
    <t>25,06,2025  22:58:48</t>
  </si>
  <si>
    <t>25,06,2025  22:59:48</t>
  </si>
  <si>
    <t>25,06,2025  22:59:56</t>
  </si>
  <si>
    <t>25,06,2025  23:00:02</t>
  </si>
  <si>
    <t>25,06,2025  23:00:06</t>
  </si>
  <si>
    <t>25,06,2025  23:00:54</t>
  </si>
  <si>
    <t>25,06,2025  23:00:58</t>
  </si>
  <si>
    <t>25,06,2025  23:00:01</t>
  </si>
  <si>
    <t>25,06,2025  23:01:06</t>
  </si>
  <si>
    <t>25,06,2025  23:01:13</t>
  </si>
  <si>
    <t>25,06,2025  23:01:56</t>
  </si>
  <si>
    <t>25,06,2025  23:02:04</t>
  </si>
  <si>
    <t>25,06,2025  23:02:15</t>
  </si>
  <si>
    <t>25,06,2025  23:02:19</t>
  </si>
  <si>
    <t>25,06,2025  23:03:04</t>
  </si>
  <si>
    <t>25,06,2025  23:03:08</t>
  </si>
  <si>
    <t>25,06,2025  23:03:22</t>
  </si>
  <si>
    <t>25,06,2025  23:03:23</t>
  </si>
  <si>
    <t>25,06,2025  23:03:03</t>
  </si>
  <si>
    <t>25,06,2025  23:04:09</t>
  </si>
  <si>
    <t>25,06,2025  23:04:10</t>
  </si>
  <si>
    <t>25,06,2025  23:04:25</t>
  </si>
  <si>
    <t>25,06,2025  23:04:32</t>
  </si>
  <si>
    <t>25,06,2025  23:05:17</t>
  </si>
  <si>
    <t>25,06,2025  23:05:13</t>
  </si>
  <si>
    <t>25,06,2025  23:05:30</t>
  </si>
  <si>
    <t>25,06,2025  23:05:37</t>
  </si>
  <si>
    <t>25,06,2025  23:06:11</t>
  </si>
  <si>
    <t>25,06,2025  23:06:27</t>
  </si>
  <si>
    <t>25,06,2025  23:06:37</t>
  </si>
  <si>
    <t>25,06,2025  23:06:46</t>
  </si>
  <si>
    <t>25,06,2025  23:07:16</t>
  </si>
  <si>
    <t>25,06,2025  23:07:23</t>
  </si>
  <si>
    <t>25,06,2025  23:07:47</t>
  </si>
  <si>
    <t>25,06,2025  23:07:50</t>
  </si>
  <si>
    <t>25,06,2025  23:08:17</t>
  </si>
  <si>
    <t>25,06,2025  23:08:28</t>
  </si>
  <si>
    <t>25,06,2025  23:08:52</t>
  </si>
  <si>
    <t>25,06,2025  23:09:02</t>
  </si>
  <si>
    <t>25,06,2025  23:09:22</t>
  </si>
  <si>
    <t>25,06,2025  23:09:31</t>
  </si>
  <si>
    <t>25,06,2025  23:09:54</t>
  </si>
  <si>
    <t>25,06,2025  23:10:09</t>
  </si>
  <si>
    <t>25,06,2025  23:10:27</t>
  </si>
  <si>
    <t>25,06,2025  23:10:36</t>
  </si>
  <si>
    <t>25,06,2025  23:11:04</t>
  </si>
  <si>
    <t>25,06,2025  23:11:15</t>
  </si>
  <si>
    <t>25,06,2025  23:11:34</t>
  </si>
  <si>
    <t>25,06,2025  23:11:26</t>
  </si>
  <si>
    <t>25,06,2025  23:11:52</t>
  </si>
  <si>
    <t>25,06,2025  23:12:06</t>
  </si>
  <si>
    <t>25,06,2025  23:12:10</t>
  </si>
  <si>
    <t>25,06,2025  23:12:18</t>
  </si>
  <si>
    <t>25,06,2025  23:13:25</t>
  </si>
  <si>
    <t>25,06,2025  23:12:59</t>
  </si>
  <si>
    <t>25,06,2025  23:13:11</t>
  </si>
  <si>
    <t>25,06,2025  23:13:36</t>
  </si>
  <si>
    <t>25,06,2025  23:14:08</t>
  </si>
  <si>
    <t>25,06,2025  23:14:16</t>
  </si>
  <si>
    <t>25,06,2025  23:14:52</t>
  </si>
  <si>
    <t>25,06,2025  23:14:40</t>
  </si>
  <si>
    <t>25,06,2025  23:14:07</t>
  </si>
  <si>
    <t>25,06,2025  23:14:59</t>
  </si>
  <si>
    <t>25,06,2025  23:15:02</t>
  </si>
  <si>
    <t>25,06,2025  23:16:07</t>
  </si>
  <si>
    <t>25,06,2025  23:16:25</t>
  </si>
  <si>
    <t>25,06,2025  23:16:32</t>
  </si>
  <si>
    <t>25,06,2025  23:15:36</t>
  </si>
  <si>
    <t>25,06,2025  23:16:20</t>
  </si>
  <si>
    <t>25,06,2025  23:16:56</t>
  </si>
  <si>
    <t>25,06,2025  23:17:38</t>
  </si>
  <si>
    <t>25,06,2025  23:17:01</t>
  </si>
  <si>
    <t>25,06,2025  23:17:18</t>
  </si>
  <si>
    <t>25,06,2025  23:17:54</t>
  </si>
  <si>
    <t>25,06,2025  23:17:36</t>
  </si>
  <si>
    <t>25,06,2025  23:18:42</t>
  </si>
  <si>
    <t>25,06,2025  23:19:00</t>
  </si>
  <si>
    <t>25,06,2025  23:18:24</t>
  </si>
  <si>
    <t>25,06,2025  23:19:10</t>
  </si>
  <si>
    <t>25,06,2025  23:19:27</t>
  </si>
  <si>
    <t>25,06,2025  23:19:17</t>
  </si>
  <si>
    <t>25,06,2025  23:19:44</t>
  </si>
  <si>
    <t>25,06,2025  23:20:08</t>
  </si>
  <si>
    <t>25,06,2025  23:21:01</t>
  </si>
  <si>
    <t>25,06,2025  23:20:34</t>
  </si>
  <si>
    <t>25,06,2025  23:19:43</t>
  </si>
  <si>
    <t>25,06,2025  23:20:26</t>
  </si>
  <si>
    <t>25,06,2025  23:21:10</t>
  </si>
  <si>
    <t>25,06,2025  23:21:18</t>
  </si>
  <si>
    <t>25,06,2025  23:21:22</t>
  </si>
  <si>
    <t>25,06,2025  23:21:46</t>
  </si>
  <si>
    <t>25,06,2025  23:21:55</t>
  </si>
  <si>
    <t>25,06,2025  23:22:19</t>
  </si>
  <si>
    <t>25,06,2025  23:22:03</t>
  </si>
  <si>
    <t>25,06,2025  23:22:38</t>
  </si>
  <si>
    <t>25,06,2025  23:22:59</t>
  </si>
  <si>
    <t>25,06,2025  23:22:52</t>
  </si>
  <si>
    <t>25,06,2025  23:23:42</t>
  </si>
  <si>
    <t>25,06,2025  23:23:50</t>
  </si>
  <si>
    <t>25,06,2025  23:23:29</t>
  </si>
  <si>
    <t>25,06,2025  23:24:00</t>
  </si>
  <si>
    <t>25,06,2025  23:24:19</t>
  </si>
  <si>
    <t>25,06,2025  23:24:55</t>
  </si>
  <si>
    <t>25,06,2025  23:25:10</t>
  </si>
  <si>
    <t>25,06,2025  23:25:01</t>
  </si>
  <si>
    <t>25,06,2025  23:25:37</t>
  </si>
  <si>
    <t>25,06,2025  23:25:52</t>
  </si>
  <si>
    <t>25,06,2025  23:26:28</t>
  </si>
  <si>
    <t>25,06,2025  23:25:09</t>
  </si>
  <si>
    <t>25,06,2025  23:27:12</t>
  </si>
  <si>
    <t>25,06,2025  23:27:27</t>
  </si>
  <si>
    <t>25,06,2025  23:28:01</t>
  </si>
  <si>
    <t>25,06,2025  23:28:30</t>
  </si>
  <si>
    <t>25,06,2025  23:29:04</t>
  </si>
  <si>
    <t>25,06,2025  23:29:39</t>
  </si>
  <si>
    <t>25,06,2025  23:30:01</t>
  </si>
  <si>
    <t>25,06,2025  23:30:57</t>
  </si>
  <si>
    <t>25,06,2025  23:31:02</t>
  </si>
  <si>
    <t>25,06,2025  23:31:46</t>
  </si>
  <si>
    <t>25,06,2025  23:32:15</t>
  </si>
  <si>
    <t>25,06,2025  23:32:48</t>
  </si>
  <si>
    <t>25,06,2025  23:32:59</t>
  </si>
  <si>
    <t>25,06,2025  23:34:03</t>
  </si>
  <si>
    <t>25,06,2025  23:34:22</t>
  </si>
  <si>
    <t>25,06,2025  23:34:45</t>
  </si>
  <si>
    <t>25,06,2025  23:35:05</t>
  </si>
  <si>
    <t>25,06,2025  23:36:23</t>
  </si>
  <si>
    <t>25,06,2025  23:36:14</t>
  </si>
  <si>
    <t>25,06,2025  23:36:59</t>
  </si>
  <si>
    <t>25,06,2025  23:36:33</t>
  </si>
  <si>
    <t>25,06,2025  23:38:08</t>
  </si>
  <si>
    <t>25,06,2025  23:38:12</t>
  </si>
  <si>
    <t>25,06,2025  23:38:26</t>
  </si>
  <si>
    <t>25,06,2025  23:39:00</t>
  </si>
  <si>
    <t>25,06,2025  23:40:00</t>
  </si>
  <si>
    <t>25,06,2025  23:38:38</t>
  </si>
  <si>
    <t>25,06,2025  23:39:47</t>
  </si>
  <si>
    <t>25,06,2025  23:40:25</t>
  </si>
  <si>
    <t>25,06,2025  23:41:18</t>
  </si>
  <si>
    <t>25,06,2025  23:42:15</t>
  </si>
  <si>
    <t>25,06,2025  23:43:40</t>
  </si>
  <si>
    <t>25,06,2025  23:42:06</t>
  </si>
  <si>
    <t>25,06,2025  23:43:05</t>
  </si>
  <si>
    <t>25,06,2025  23:43:53</t>
  </si>
  <si>
    <t>25,06,2025  23:44:53</t>
  </si>
  <si>
    <t>25,06,2025  23:45:56</t>
  </si>
  <si>
    <t>25,06,2025  23:46:13</t>
  </si>
  <si>
    <t>25,06,2025  23:45:30</t>
  </si>
  <si>
    <t>25,06,2025  23:47:08</t>
  </si>
  <si>
    <t>25,06,2025  23:47:14</t>
  </si>
  <si>
    <t>25,06,2025  23:48:12</t>
  </si>
  <si>
    <t>25,06,2025  23:48:03</t>
  </si>
  <si>
    <t>25,06,2025  23:48:52</t>
  </si>
  <si>
    <t>25,06,2025  23:48:54</t>
  </si>
  <si>
    <t>residua</t>
  </si>
  <si>
    <t>średnie_res</t>
  </si>
  <si>
    <t>mediana_res</t>
  </si>
  <si>
    <t>pred_zawyzone</t>
  </si>
  <si>
    <t>pred_zanizone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</si>
</sst>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47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Real vs Predicted</a:t>
            </a:r>
            <a:r>
              <a:rPr lang="pl-PL" baseline="0"/>
              <a:t> Neural Network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</c:numCache>
            </c:numRef>
          </c:xVal>
          <c:yVal>
            <c:numRef>
              <c:f>Arkusz1!$E$2:$E$186</c:f>
              <c:numCache>
                <c:formatCode>General</c:formatCode>
                <c:ptCount val="185"/>
                <c:pt idx="0">
                  <c:v>156.00995449973399</c:v>
                </c:pt>
                <c:pt idx="1">
                  <c:v>159.575375445319</c:v>
                </c:pt>
                <c:pt idx="2">
                  <c:v>171.23348565669301</c:v>
                </c:pt>
                <c:pt idx="3">
                  <c:v>157.00123652758501</c:v>
                </c:pt>
                <c:pt idx="4">
                  <c:v>152.02187742485299</c:v>
                </c:pt>
                <c:pt idx="5">
                  <c:v>146.84761363265201</c:v>
                </c:pt>
                <c:pt idx="6">
                  <c:v>179.51713568164001</c:v>
                </c:pt>
                <c:pt idx="7">
                  <c:v>151.854940564077</c:v>
                </c:pt>
                <c:pt idx="8">
                  <c:v>124.52050333138401</c:v>
                </c:pt>
                <c:pt idx="9">
                  <c:v>145.15721537322301</c:v>
                </c:pt>
                <c:pt idx="10">
                  <c:v>124.24472232107399</c:v>
                </c:pt>
                <c:pt idx="11">
                  <c:v>215.076728431476</c:v>
                </c:pt>
                <c:pt idx="12">
                  <c:v>121.20391552522899</c:v>
                </c:pt>
                <c:pt idx="13">
                  <c:v>155.56850047481601</c:v>
                </c:pt>
                <c:pt idx="14">
                  <c:v>150.76133796950899</c:v>
                </c:pt>
                <c:pt idx="15">
                  <c:v>144.69437270660799</c:v>
                </c:pt>
                <c:pt idx="16">
                  <c:v>181.237478076874</c:v>
                </c:pt>
                <c:pt idx="17">
                  <c:v>51.984273522908602</c:v>
                </c:pt>
                <c:pt idx="18">
                  <c:v>58.243185015710303</c:v>
                </c:pt>
                <c:pt idx="19">
                  <c:v>73.665189487631594</c:v>
                </c:pt>
                <c:pt idx="20">
                  <c:v>57.279464352279199</c:v>
                </c:pt>
                <c:pt idx="21">
                  <c:v>81.249477428737194</c:v>
                </c:pt>
                <c:pt idx="22">
                  <c:v>87.701368597136195</c:v>
                </c:pt>
                <c:pt idx="23">
                  <c:v>50.963017436588402</c:v>
                </c:pt>
                <c:pt idx="24">
                  <c:v>54.856154762733198</c:v>
                </c:pt>
                <c:pt idx="25">
                  <c:v>38.6190531527782</c:v>
                </c:pt>
                <c:pt idx="26">
                  <c:v>60.771427377556499</c:v>
                </c:pt>
                <c:pt idx="27">
                  <c:v>58.670169693578202</c:v>
                </c:pt>
                <c:pt idx="28">
                  <c:v>57.1717040003264</c:v>
                </c:pt>
                <c:pt idx="29">
                  <c:v>51.948388518121902</c:v>
                </c:pt>
                <c:pt idx="30">
                  <c:v>43.7342931105064</c:v>
                </c:pt>
                <c:pt idx="31">
                  <c:v>69.231496157133094</c:v>
                </c:pt>
                <c:pt idx="32">
                  <c:v>69.545046216512105</c:v>
                </c:pt>
                <c:pt idx="33">
                  <c:v>67.194435421716605</c:v>
                </c:pt>
                <c:pt idx="34">
                  <c:v>67.490705874859501</c:v>
                </c:pt>
                <c:pt idx="35">
                  <c:v>69.619250543099199</c:v>
                </c:pt>
                <c:pt idx="36">
                  <c:v>70.624593957570198</c:v>
                </c:pt>
                <c:pt idx="37">
                  <c:v>82.904000129867299</c:v>
                </c:pt>
                <c:pt idx="38">
                  <c:v>70.570468471935499</c:v>
                </c:pt>
                <c:pt idx="39">
                  <c:v>84.036531460166898</c:v>
                </c:pt>
                <c:pt idx="40">
                  <c:v>67.104263955458904</c:v>
                </c:pt>
                <c:pt idx="41">
                  <c:v>76.894560743913502</c:v>
                </c:pt>
                <c:pt idx="42">
                  <c:v>73.169289479751001</c:v>
                </c:pt>
                <c:pt idx="43">
                  <c:v>71.951903239225501</c:v>
                </c:pt>
                <c:pt idx="44">
                  <c:v>74.054883875721202</c:v>
                </c:pt>
                <c:pt idx="45">
                  <c:v>73.360786003675997</c:v>
                </c:pt>
                <c:pt idx="46">
                  <c:v>69.7293178067235</c:v>
                </c:pt>
                <c:pt idx="47">
                  <c:v>72.442909356082097</c:v>
                </c:pt>
                <c:pt idx="48">
                  <c:v>74.298823654561502</c:v>
                </c:pt>
                <c:pt idx="49">
                  <c:v>75.499707704028395</c:v>
                </c:pt>
                <c:pt idx="50">
                  <c:v>70.201744622125503</c:v>
                </c:pt>
                <c:pt idx="51">
                  <c:v>71.228372440767799</c:v>
                </c:pt>
                <c:pt idx="52">
                  <c:v>67.363357405226395</c:v>
                </c:pt>
                <c:pt idx="53">
                  <c:v>67.756753553530501</c:v>
                </c:pt>
                <c:pt idx="54">
                  <c:v>79.570270030405197</c:v>
                </c:pt>
                <c:pt idx="55">
                  <c:v>72.821664630487803</c:v>
                </c:pt>
                <c:pt idx="56">
                  <c:v>69.404178851043895</c:v>
                </c:pt>
                <c:pt idx="57">
                  <c:v>78.407272654741504</c:v>
                </c:pt>
                <c:pt idx="58">
                  <c:v>87.379987532171</c:v>
                </c:pt>
                <c:pt idx="59">
                  <c:v>70.034839843651</c:v>
                </c:pt>
                <c:pt idx="60">
                  <c:v>71.264826349327095</c:v>
                </c:pt>
                <c:pt idx="61">
                  <c:v>70.206864426516901</c:v>
                </c:pt>
                <c:pt idx="62">
                  <c:v>73.058622498051704</c:v>
                </c:pt>
                <c:pt idx="63">
                  <c:v>67.211499296269295</c:v>
                </c:pt>
                <c:pt idx="64">
                  <c:v>76.839919201677802</c:v>
                </c:pt>
                <c:pt idx="65">
                  <c:v>70.369867863993605</c:v>
                </c:pt>
                <c:pt idx="66">
                  <c:v>75.789778337637301</c:v>
                </c:pt>
                <c:pt idx="67">
                  <c:v>73.641342119625193</c:v>
                </c:pt>
                <c:pt idx="68">
                  <c:v>92.589322585345101</c:v>
                </c:pt>
                <c:pt idx="69">
                  <c:v>69.621225474590702</c:v>
                </c:pt>
                <c:pt idx="70">
                  <c:v>67.833760372944298</c:v>
                </c:pt>
                <c:pt idx="71">
                  <c:v>70.103110298294695</c:v>
                </c:pt>
                <c:pt idx="72">
                  <c:v>76.425491081579196</c:v>
                </c:pt>
                <c:pt idx="73">
                  <c:v>70.682691606053098</c:v>
                </c:pt>
                <c:pt idx="74">
                  <c:v>71.714537712633302</c:v>
                </c:pt>
                <c:pt idx="75">
                  <c:v>77.943651306169599</c:v>
                </c:pt>
                <c:pt idx="76">
                  <c:v>69.120867008249803</c:v>
                </c:pt>
                <c:pt idx="77">
                  <c:v>82.5252703476053</c:v>
                </c:pt>
                <c:pt idx="78">
                  <c:v>77.337613201801801</c:v>
                </c:pt>
                <c:pt idx="79">
                  <c:v>70.617783172116603</c:v>
                </c:pt>
                <c:pt idx="80">
                  <c:v>79.797935735190094</c:v>
                </c:pt>
                <c:pt idx="81">
                  <c:v>80.133687075864501</c:v>
                </c:pt>
                <c:pt idx="82">
                  <c:v>72.359648124944897</c:v>
                </c:pt>
                <c:pt idx="83">
                  <c:v>71.824324167411604</c:v>
                </c:pt>
                <c:pt idx="84">
                  <c:v>74.449199581059304</c:v>
                </c:pt>
                <c:pt idx="85">
                  <c:v>67.544485676197795</c:v>
                </c:pt>
                <c:pt idx="86">
                  <c:v>67.351966391683504</c:v>
                </c:pt>
                <c:pt idx="87">
                  <c:v>69.111799687019101</c:v>
                </c:pt>
                <c:pt idx="88">
                  <c:v>58.556318668784797</c:v>
                </c:pt>
                <c:pt idx="89">
                  <c:v>74.511526907355901</c:v>
                </c:pt>
                <c:pt idx="90">
                  <c:v>57.6269364801107</c:v>
                </c:pt>
                <c:pt idx="91">
                  <c:v>40.1446888794936</c:v>
                </c:pt>
                <c:pt idx="92">
                  <c:v>92.3176969694848</c:v>
                </c:pt>
                <c:pt idx="93">
                  <c:v>63.413685524699602</c:v>
                </c:pt>
                <c:pt idx="94">
                  <c:v>47.804814239033099</c:v>
                </c:pt>
                <c:pt idx="95">
                  <c:v>57.973367873465698</c:v>
                </c:pt>
                <c:pt idx="96">
                  <c:v>56.668437246159797</c:v>
                </c:pt>
                <c:pt idx="97">
                  <c:v>61.188321347598603</c:v>
                </c:pt>
                <c:pt idx="98">
                  <c:v>61.184858926068699</c:v>
                </c:pt>
                <c:pt idx="99">
                  <c:v>62.508209910602801</c:v>
                </c:pt>
                <c:pt idx="100">
                  <c:v>67.375332535604301</c:v>
                </c:pt>
                <c:pt idx="101">
                  <c:v>97.830608774691399</c:v>
                </c:pt>
                <c:pt idx="102">
                  <c:v>81.023435403709001</c:v>
                </c:pt>
                <c:pt idx="103">
                  <c:v>75.726794061748294</c:v>
                </c:pt>
                <c:pt idx="104">
                  <c:v>67.312606528203105</c:v>
                </c:pt>
                <c:pt idx="105">
                  <c:v>48.402795467766097</c:v>
                </c:pt>
                <c:pt idx="106">
                  <c:v>76.661462421803193</c:v>
                </c:pt>
                <c:pt idx="107">
                  <c:v>97.135371716897296</c:v>
                </c:pt>
                <c:pt idx="108">
                  <c:v>42.359699576888197</c:v>
                </c:pt>
                <c:pt idx="109">
                  <c:v>41.100967252550802</c:v>
                </c:pt>
                <c:pt idx="110">
                  <c:v>63.9101920655499</c:v>
                </c:pt>
                <c:pt idx="111">
                  <c:v>60.751152224784803</c:v>
                </c:pt>
                <c:pt idx="112">
                  <c:v>65.737689946894804</c:v>
                </c:pt>
                <c:pt idx="113">
                  <c:v>61.533148122119499</c:v>
                </c:pt>
                <c:pt idx="114">
                  <c:v>95.8004633253462</c:v>
                </c:pt>
                <c:pt idx="115">
                  <c:v>35.898073532817499</c:v>
                </c:pt>
                <c:pt idx="116">
                  <c:v>66.806563669951998</c:v>
                </c:pt>
                <c:pt idx="117">
                  <c:v>56.6395234439983</c:v>
                </c:pt>
                <c:pt idx="118">
                  <c:v>44.6440051502614</c:v>
                </c:pt>
                <c:pt idx="119">
                  <c:v>64.224204805265103</c:v>
                </c:pt>
                <c:pt idx="120">
                  <c:v>82.841856973850795</c:v>
                </c:pt>
                <c:pt idx="121">
                  <c:v>73.142230995310499</c:v>
                </c:pt>
                <c:pt idx="122">
                  <c:v>71.946017058771602</c:v>
                </c:pt>
                <c:pt idx="123">
                  <c:v>61.2735255873542</c:v>
                </c:pt>
                <c:pt idx="124">
                  <c:v>47.140787926634303</c:v>
                </c:pt>
                <c:pt idx="125">
                  <c:v>71.478787089294499</c:v>
                </c:pt>
                <c:pt idx="126">
                  <c:v>56.896736026852601</c:v>
                </c:pt>
                <c:pt idx="127">
                  <c:v>57.849700743869398</c:v>
                </c:pt>
                <c:pt idx="128">
                  <c:v>72.548995360601793</c:v>
                </c:pt>
                <c:pt idx="129">
                  <c:v>61.883181167083798</c:v>
                </c:pt>
                <c:pt idx="130">
                  <c:v>74.927597458319397</c:v>
                </c:pt>
                <c:pt idx="131">
                  <c:v>62.791193259110798</c:v>
                </c:pt>
                <c:pt idx="132">
                  <c:v>73.937081807917295</c:v>
                </c:pt>
                <c:pt idx="133">
                  <c:v>72.552287553133795</c:v>
                </c:pt>
                <c:pt idx="134">
                  <c:v>63.6512951206292</c:v>
                </c:pt>
                <c:pt idx="135">
                  <c:v>56.890755347814803</c:v>
                </c:pt>
                <c:pt idx="136">
                  <c:v>78.939578610813101</c:v>
                </c:pt>
                <c:pt idx="137">
                  <c:v>73.101993339723805</c:v>
                </c:pt>
                <c:pt idx="138">
                  <c:v>62.8887846373364</c:v>
                </c:pt>
                <c:pt idx="139">
                  <c:v>38.951113737429701</c:v>
                </c:pt>
                <c:pt idx="140">
                  <c:v>56.538197725162902</c:v>
                </c:pt>
                <c:pt idx="141">
                  <c:v>67.210599866770806</c:v>
                </c:pt>
                <c:pt idx="142">
                  <c:v>68.002117490249901</c:v>
                </c:pt>
                <c:pt idx="143">
                  <c:v>60.426149780451603</c:v>
                </c:pt>
                <c:pt idx="144">
                  <c:v>64.400522068419903</c:v>
                </c:pt>
                <c:pt idx="145">
                  <c:v>58.632951509819101</c:v>
                </c:pt>
                <c:pt idx="146">
                  <c:v>72.849123862941795</c:v>
                </c:pt>
                <c:pt idx="147">
                  <c:v>148.116130197568</c:v>
                </c:pt>
                <c:pt idx="148">
                  <c:v>144.90422451600199</c:v>
                </c:pt>
                <c:pt idx="149">
                  <c:v>163.521178127772</c:v>
                </c:pt>
                <c:pt idx="150">
                  <c:v>142.895445849455</c:v>
                </c:pt>
                <c:pt idx="151">
                  <c:v>164.84110635994901</c:v>
                </c:pt>
                <c:pt idx="152">
                  <c:v>120.354215763143</c:v>
                </c:pt>
                <c:pt idx="153">
                  <c:v>178.147327770457</c:v>
                </c:pt>
                <c:pt idx="154">
                  <c:v>200.22615789417901</c:v>
                </c:pt>
                <c:pt idx="155">
                  <c:v>185.58488479728899</c:v>
                </c:pt>
                <c:pt idx="156">
                  <c:v>203.577825100665</c:v>
                </c:pt>
                <c:pt idx="157">
                  <c:v>166.49716677208099</c:v>
                </c:pt>
                <c:pt idx="158">
                  <c:v>170.54455958904501</c:v>
                </c:pt>
                <c:pt idx="159">
                  <c:v>154.09898018522199</c:v>
                </c:pt>
                <c:pt idx="160">
                  <c:v>158.51203790424799</c:v>
                </c:pt>
                <c:pt idx="161">
                  <c:v>164.14179451480399</c:v>
                </c:pt>
                <c:pt idx="162">
                  <c:v>173.54704928117101</c:v>
                </c:pt>
                <c:pt idx="163">
                  <c:v>147.04951849734601</c:v>
                </c:pt>
                <c:pt idx="164">
                  <c:v>151.67761839174301</c:v>
                </c:pt>
                <c:pt idx="165">
                  <c:v>162.212765789</c:v>
                </c:pt>
                <c:pt idx="166">
                  <c:v>155.205857746341</c:v>
                </c:pt>
                <c:pt idx="167">
                  <c:v>158.09224793026399</c:v>
                </c:pt>
                <c:pt idx="168">
                  <c:v>162.13809572352901</c:v>
                </c:pt>
                <c:pt idx="169">
                  <c:v>168.433383932292</c:v>
                </c:pt>
                <c:pt idx="170">
                  <c:v>151.10631612207399</c:v>
                </c:pt>
                <c:pt idx="171">
                  <c:v>188.32050704776199</c:v>
                </c:pt>
                <c:pt idx="172">
                  <c:v>172.32600628395301</c:v>
                </c:pt>
                <c:pt idx="173">
                  <c:v>159.584645581122</c:v>
                </c:pt>
                <c:pt idx="174">
                  <c:v>146.76090638038599</c:v>
                </c:pt>
                <c:pt idx="175">
                  <c:v>148.73538872751399</c:v>
                </c:pt>
                <c:pt idx="176">
                  <c:v>111.67486402490201</c:v>
                </c:pt>
                <c:pt idx="177">
                  <c:v>144.69437270660799</c:v>
                </c:pt>
                <c:pt idx="178">
                  <c:v>119.22224236419</c:v>
                </c:pt>
                <c:pt idx="179">
                  <c:v>159.575375445319</c:v>
                </c:pt>
                <c:pt idx="180">
                  <c:v>151.30196653981</c:v>
                </c:pt>
                <c:pt idx="181">
                  <c:v>145.15721537322301</c:v>
                </c:pt>
                <c:pt idx="182">
                  <c:v>153.87549293695699</c:v>
                </c:pt>
                <c:pt idx="183">
                  <c:v>137.53196050298399</c:v>
                </c:pt>
                <c:pt idx="184">
                  <c:v>274.59666516905401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76-4299-A030-B0062A56D53C}"/>
            </c:ext>
          </c:extLst>
        </c:ser>
        <c:ser>
          <c:idx val="1"/>
          <c:order val="1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</c:numCache>
            </c:numRef>
          </c:xVal>
          <c:yVal>
            <c:numRef>
              <c:f>Arkusz1!$H$2:$H$186</c:f>
              <c:numCache>
                <c:formatCode>General</c:formatCode>
                <c:ptCount val="185"/>
                <c:pt idx="0">
                  <c:v>199.416</c:v>
                </c:pt>
                <c:pt idx="1">
                  <c:v>173.506</c:v>
                </c:pt>
                <c:pt idx="2">
                  <c:v>185.59</c:v>
                </c:pt>
                <c:pt idx="3">
                  <c:v>113.304</c:v>
                </c:pt>
                <c:pt idx="4">
                  <c:v>112.85299999999999</c:v>
                </c:pt>
                <c:pt idx="5">
                  <c:v>138.92400000000001</c:v>
                </c:pt>
                <c:pt idx="6">
                  <c:v>152.80000000000001</c:v>
                </c:pt>
                <c:pt idx="7">
                  <c:v>125.274</c:v>
                </c:pt>
                <c:pt idx="8">
                  <c:v>122.907</c:v>
                </c:pt>
                <c:pt idx="9">
                  <c:v>114.66200000000001</c:v>
                </c:pt>
                <c:pt idx="10">
                  <c:v>190.374</c:v>
                </c:pt>
                <c:pt idx="11">
                  <c:v>150.74700000000001</c:v>
                </c:pt>
                <c:pt idx="12">
                  <c:v>127.88500000000001</c:v>
                </c:pt>
                <c:pt idx="13">
                  <c:v>115.44499999999999</c:v>
                </c:pt>
                <c:pt idx="14">
                  <c:v>114.806</c:v>
                </c:pt>
                <c:pt idx="15">
                  <c:v>117.584</c:v>
                </c:pt>
                <c:pt idx="16">
                  <c:v>149.54</c:v>
                </c:pt>
                <c:pt idx="17">
                  <c:v>54.648000000000003</c:v>
                </c:pt>
                <c:pt idx="18">
                  <c:v>93.855999999999995</c:v>
                </c:pt>
                <c:pt idx="19">
                  <c:v>96.444999999999993</c:v>
                </c:pt>
                <c:pt idx="20">
                  <c:v>84.043999999999997</c:v>
                </c:pt>
                <c:pt idx="21">
                  <c:v>66.41</c:v>
                </c:pt>
                <c:pt idx="22">
                  <c:v>82.018000000000001</c:v>
                </c:pt>
                <c:pt idx="23">
                  <c:v>73.405000000000001</c:v>
                </c:pt>
                <c:pt idx="24">
                  <c:v>105.526</c:v>
                </c:pt>
                <c:pt idx="25">
                  <c:v>45.079000000000001</c:v>
                </c:pt>
                <c:pt idx="26">
                  <c:v>43.198999999999998</c:v>
                </c:pt>
                <c:pt idx="27">
                  <c:v>87.566999999999993</c:v>
                </c:pt>
                <c:pt idx="28">
                  <c:v>64.376999999999995</c:v>
                </c:pt>
                <c:pt idx="29">
                  <c:v>42.926000000000002</c:v>
                </c:pt>
                <c:pt idx="30">
                  <c:v>52.628</c:v>
                </c:pt>
                <c:pt idx="31">
                  <c:v>67.881</c:v>
                </c:pt>
                <c:pt idx="32">
                  <c:v>72.698999999999998</c:v>
                </c:pt>
                <c:pt idx="33">
                  <c:v>71.662999999999997</c:v>
                </c:pt>
                <c:pt idx="34">
                  <c:v>67.811000000000007</c:v>
                </c:pt>
                <c:pt idx="35">
                  <c:v>66.587000000000003</c:v>
                </c:pt>
                <c:pt idx="36">
                  <c:v>64.265000000000001</c:v>
                </c:pt>
                <c:pt idx="37">
                  <c:v>69.64</c:v>
                </c:pt>
                <c:pt idx="38">
                  <c:v>64.004000000000005</c:v>
                </c:pt>
                <c:pt idx="39">
                  <c:v>65.113</c:v>
                </c:pt>
                <c:pt idx="40">
                  <c:v>68.891000000000005</c:v>
                </c:pt>
                <c:pt idx="41">
                  <c:v>64.63</c:v>
                </c:pt>
                <c:pt idx="42">
                  <c:v>56.186999999999998</c:v>
                </c:pt>
                <c:pt idx="43">
                  <c:v>64.531000000000006</c:v>
                </c:pt>
                <c:pt idx="44">
                  <c:v>68.147999999999996</c:v>
                </c:pt>
                <c:pt idx="45">
                  <c:v>68.602000000000004</c:v>
                </c:pt>
                <c:pt idx="46">
                  <c:v>71.378</c:v>
                </c:pt>
                <c:pt idx="47">
                  <c:v>65.984999999999999</c:v>
                </c:pt>
                <c:pt idx="48">
                  <c:v>61.966000000000001</c:v>
                </c:pt>
                <c:pt idx="49">
                  <c:v>64.224999999999994</c:v>
                </c:pt>
                <c:pt idx="50">
                  <c:v>66.634</c:v>
                </c:pt>
                <c:pt idx="51">
                  <c:v>62.414999999999999</c:v>
                </c:pt>
                <c:pt idx="52">
                  <c:v>66.524000000000001</c:v>
                </c:pt>
                <c:pt idx="53">
                  <c:v>68.950999999999993</c:v>
                </c:pt>
                <c:pt idx="54">
                  <c:v>65.637</c:v>
                </c:pt>
                <c:pt idx="55">
                  <c:v>67.534000000000006</c:v>
                </c:pt>
                <c:pt idx="56">
                  <c:v>64.156999999999996</c:v>
                </c:pt>
                <c:pt idx="57">
                  <c:v>67.204999999999998</c:v>
                </c:pt>
                <c:pt idx="58">
                  <c:v>64.59</c:v>
                </c:pt>
                <c:pt idx="59">
                  <c:v>65.114999999999995</c:v>
                </c:pt>
                <c:pt idx="60">
                  <c:v>62.631</c:v>
                </c:pt>
                <c:pt idx="61">
                  <c:v>62.78</c:v>
                </c:pt>
                <c:pt idx="62">
                  <c:v>69.171999999999997</c:v>
                </c:pt>
                <c:pt idx="63">
                  <c:v>68.126000000000005</c:v>
                </c:pt>
                <c:pt idx="64">
                  <c:v>62.965000000000003</c:v>
                </c:pt>
                <c:pt idx="65">
                  <c:v>65.364999999999995</c:v>
                </c:pt>
                <c:pt idx="66">
                  <c:v>64.98</c:v>
                </c:pt>
                <c:pt idx="67">
                  <c:v>58.305999999999997</c:v>
                </c:pt>
                <c:pt idx="68">
                  <c:v>69.796999999999997</c:v>
                </c:pt>
                <c:pt idx="69">
                  <c:v>67.332999999999998</c:v>
                </c:pt>
                <c:pt idx="70">
                  <c:v>69.599000000000004</c:v>
                </c:pt>
                <c:pt idx="71">
                  <c:v>64.498000000000005</c:v>
                </c:pt>
                <c:pt idx="72">
                  <c:v>56.030999999999999</c:v>
                </c:pt>
                <c:pt idx="73">
                  <c:v>70.007999999999996</c:v>
                </c:pt>
                <c:pt idx="74">
                  <c:v>63.865000000000002</c:v>
                </c:pt>
                <c:pt idx="75">
                  <c:v>60.67</c:v>
                </c:pt>
                <c:pt idx="76">
                  <c:v>65.132000000000005</c:v>
                </c:pt>
                <c:pt idx="77">
                  <c:v>65.082999999999998</c:v>
                </c:pt>
                <c:pt idx="78">
                  <c:v>72.048000000000002</c:v>
                </c:pt>
                <c:pt idx="79">
                  <c:v>65.174999999999997</c:v>
                </c:pt>
                <c:pt idx="80">
                  <c:v>63.451000000000001</c:v>
                </c:pt>
                <c:pt idx="81">
                  <c:v>62.567999999999998</c:v>
                </c:pt>
                <c:pt idx="82">
                  <c:v>67.245999999999995</c:v>
                </c:pt>
                <c:pt idx="83">
                  <c:v>65.831000000000003</c:v>
                </c:pt>
                <c:pt idx="84">
                  <c:v>64.524000000000001</c:v>
                </c:pt>
                <c:pt idx="85">
                  <c:v>69.525000000000006</c:v>
                </c:pt>
                <c:pt idx="86">
                  <c:v>66.400000000000006</c:v>
                </c:pt>
                <c:pt idx="87">
                  <c:v>66.141999999999996</c:v>
                </c:pt>
                <c:pt idx="88">
                  <c:v>50.814999999999998</c:v>
                </c:pt>
                <c:pt idx="89">
                  <c:v>48.564</c:v>
                </c:pt>
                <c:pt idx="90">
                  <c:v>51.581000000000003</c:v>
                </c:pt>
                <c:pt idx="91">
                  <c:v>44.076999999999998</c:v>
                </c:pt>
                <c:pt idx="92">
                  <c:v>44.218000000000004</c:v>
                </c:pt>
                <c:pt idx="93">
                  <c:v>92.513000000000005</c:v>
                </c:pt>
                <c:pt idx="94">
                  <c:v>53.137</c:v>
                </c:pt>
                <c:pt idx="95">
                  <c:v>60.161999999999999</c:v>
                </c:pt>
                <c:pt idx="96">
                  <c:v>53.561999999999998</c:v>
                </c:pt>
                <c:pt idx="97">
                  <c:v>36.613</c:v>
                </c:pt>
                <c:pt idx="98">
                  <c:v>56.250999999999998</c:v>
                </c:pt>
                <c:pt idx="99">
                  <c:v>64.728999999999999</c:v>
                </c:pt>
                <c:pt idx="100">
                  <c:v>87.561999999999998</c:v>
                </c:pt>
                <c:pt idx="101">
                  <c:v>64.647000000000006</c:v>
                </c:pt>
                <c:pt idx="102">
                  <c:v>51.741</c:v>
                </c:pt>
                <c:pt idx="103">
                  <c:v>45.908999999999999</c:v>
                </c:pt>
                <c:pt idx="104">
                  <c:v>86.063000000000002</c:v>
                </c:pt>
                <c:pt idx="105">
                  <c:v>92.6</c:v>
                </c:pt>
                <c:pt idx="106">
                  <c:v>92.376000000000005</c:v>
                </c:pt>
                <c:pt idx="107">
                  <c:v>34.067</c:v>
                </c:pt>
                <c:pt idx="108">
                  <c:v>43.692</c:v>
                </c:pt>
                <c:pt idx="109">
                  <c:v>48.698999999999998</c:v>
                </c:pt>
                <c:pt idx="110">
                  <c:v>78.587000000000003</c:v>
                </c:pt>
                <c:pt idx="111">
                  <c:v>36.997</c:v>
                </c:pt>
                <c:pt idx="112">
                  <c:v>45.938000000000002</c:v>
                </c:pt>
                <c:pt idx="113">
                  <c:v>58.728999999999999</c:v>
                </c:pt>
                <c:pt idx="114">
                  <c:v>34.881999999999998</c:v>
                </c:pt>
                <c:pt idx="115">
                  <c:v>83.57</c:v>
                </c:pt>
                <c:pt idx="116">
                  <c:v>83.906999999999996</c:v>
                </c:pt>
                <c:pt idx="117">
                  <c:v>45.655000000000001</c:v>
                </c:pt>
                <c:pt idx="118">
                  <c:v>75.977999999999994</c:v>
                </c:pt>
                <c:pt idx="119">
                  <c:v>63.63</c:v>
                </c:pt>
                <c:pt idx="120">
                  <c:v>34.883000000000003</c:v>
                </c:pt>
                <c:pt idx="121">
                  <c:v>43.402999999999999</c:v>
                </c:pt>
                <c:pt idx="122">
                  <c:v>57.95</c:v>
                </c:pt>
                <c:pt idx="123">
                  <c:v>103.754</c:v>
                </c:pt>
                <c:pt idx="124">
                  <c:v>66.436000000000007</c:v>
                </c:pt>
                <c:pt idx="125">
                  <c:v>43.55</c:v>
                </c:pt>
                <c:pt idx="126">
                  <c:v>62.719000000000001</c:v>
                </c:pt>
                <c:pt idx="127">
                  <c:v>52.319000000000003</c:v>
                </c:pt>
                <c:pt idx="128">
                  <c:v>47.911999999999999</c:v>
                </c:pt>
                <c:pt idx="129">
                  <c:v>45.593000000000004</c:v>
                </c:pt>
                <c:pt idx="130">
                  <c:v>44.511000000000003</c:v>
                </c:pt>
                <c:pt idx="131">
                  <c:v>60.707000000000001</c:v>
                </c:pt>
                <c:pt idx="132">
                  <c:v>41.030999999999999</c:v>
                </c:pt>
                <c:pt idx="133">
                  <c:v>51.667000000000002</c:v>
                </c:pt>
                <c:pt idx="134">
                  <c:v>64.188000000000002</c:v>
                </c:pt>
                <c:pt idx="135">
                  <c:v>48.601999999999997</c:v>
                </c:pt>
                <c:pt idx="136">
                  <c:v>83.385000000000005</c:v>
                </c:pt>
                <c:pt idx="137">
                  <c:v>71.817999999999998</c:v>
                </c:pt>
                <c:pt idx="138">
                  <c:v>37.149000000000001</c:v>
                </c:pt>
                <c:pt idx="139">
                  <c:v>61.27</c:v>
                </c:pt>
                <c:pt idx="140">
                  <c:v>50.631999999999998</c:v>
                </c:pt>
                <c:pt idx="141">
                  <c:v>72.397000000000006</c:v>
                </c:pt>
                <c:pt idx="142">
                  <c:v>79.918000000000006</c:v>
                </c:pt>
                <c:pt idx="143">
                  <c:v>60.670999999999999</c:v>
                </c:pt>
                <c:pt idx="144">
                  <c:v>77.620999999999995</c:v>
                </c:pt>
                <c:pt idx="145">
                  <c:v>56.975000000000001</c:v>
                </c:pt>
                <c:pt idx="146">
                  <c:v>87.427999999999997</c:v>
                </c:pt>
                <c:pt idx="147">
                  <c:v>122.491</c:v>
                </c:pt>
                <c:pt idx="148">
                  <c:v>109.916</c:v>
                </c:pt>
                <c:pt idx="149">
                  <c:v>129.56100000000001</c:v>
                </c:pt>
                <c:pt idx="150">
                  <c:v>121.792</c:v>
                </c:pt>
                <c:pt idx="151">
                  <c:v>111.925</c:v>
                </c:pt>
                <c:pt idx="152">
                  <c:v>132.274</c:v>
                </c:pt>
                <c:pt idx="153">
                  <c:v>120.39700000000001</c:v>
                </c:pt>
                <c:pt idx="154">
                  <c:v>146.41900000000001</c:v>
                </c:pt>
                <c:pt idx="155">
                  <c:v>118.611</c:v>
                </c:pt>
                <c:pt idx="156">
                  <c:v>126.61199999999999</c:v>
                </c:pt>
                <c:pt idx="157">
                  <c:v>133.58099999999999</c:v>
                </c:pt>
                <c:pt idx="158">
                  <c:v>111.568</c:v>
                </c:pt>
                <c:pt idx="159">
                  <c:v>116.76300000000001</c:v>
                </c:pt>
                <c:pt idx="160">
                  <c:v>137.821</c:v>
                </c:pt>
                <c:pt idx="161">
                  <c:v>126.797</c:v>
                </c:pt>
                <c:pt idx="162">
                  <c:v>117.224</c:v>
                </c:pt>
                <c:pt idx="163">
                  <c:v>125.82</c:v>
                </c:pt>
                <c:pt idx="164">
                  <c:v>140.08600000000001</c:v>
                </c:pt>
                <c:pt idx="165">
                  <c:v>111.32</c:v>
                </c:pt>
                <c:pt idx="166">
                  <c:v>133.09800000000001</c:v>
                </c:pt>
                <c:pt idx="167">
                  <c:v>87.87</c:v>
                </c:pt>
                <c:pt idx="168">
                  <c:v>114.59399999999999</c:v>
                </c:pt>
                <c:pt idx="169">
                  <c:v>108.28700000000001</c:v>
                </c:pt>
                <c:pt idx="170">
                  <c:v>112.819</c:v>
                </c:pt>
                <c:pt idx="171">
                  <c:v>121.629</c:v>
                </c:pt>
                <c:pt idx="172">
                  <c:v>112.129</c:v>
                </c:pt>
                <c:pt idx="173">
                  <c:v>26.492000000000001</c:v>
                </c:pt>
                <c:pt idx="174">
                  <c:v>81.837999999999994</c:v>
                </c:pt>
                <c:pt idx="175">
                  <c:v>106.398</c:v>
                </c:pt>
                <c:pt idx="176">
                  <c:v>137.52500000000001</c:v>
                </c:pt>
                <c:pt idx="177">
                  <c:v>147.929</c:v>
                </c:pt>
                <c:pt idx="178">
                  <c:v>219.739</c:v>
                </c:pt>
                <c:pt idx="179">
                  <c:v>100.944</c:v>
                </c:pt>
                <c:pt idx="180">
                  <c:v>107.527</c:v>
                </c:pt>
                <c:pt idx="181">
                  <c:v>107.712</c:v>
                </c:pt>
                <c:pt idx="182">
                  <c:v>98.052999999999997</c:v>
                </c:pt>
                <c:pt idx="183">
                  <c:v>108.124</c:v>
                </c:pt>
                <c:pt idx="184">
                  <c:v>135.864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76-4299-A030-B0062A56D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70832"/>
        <c:axId val="194474192"/>
      </c:scatterChart>
      <c:valAx>
        <c:axId val="19447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474192"/>
        <c:crosses val="autoZero"/>
        <c:crossBetween val="midCat"/>
      </c:valAx>
      <c:valAx>
        <c:axId val="19447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470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777240</xdr:colOff>
      <xdr:row>7</xdr:row>
      <xdr:rowOff>80010</xdr:rowOff>
    </xdr:from>
    <xdr:to>
      <xdr:col>19</xdr:col>
      <xdr:colOff>388620</xdr:colOff>
      <xdr:row>32</xdr:row>
      <xdr:rowOff>106680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96837E1-24A7-6732-D60D-EA1A0F2C0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4"/>
  <sheetViews>
    <sheetView tabSelected="1" topLeftCell="D1" workbookViewId="0">
      <selection activeCell="W9" sqref="W9"/>
    </sheetView>
  </sheetViews>
  <sheetFormatPr defaultRowHeight="14.4" x14ac:dyDescent="0.3"/>
  <cols>
    <col min="21" max="21" width="12.44140625" bestFit="1" customWidth="1"/>
    <col min="22" max="22" width="11.88671875" bestFit="1" customWidth="1"/>
    <col min="23" max="23" width="14" bestFit="1" customWidth="1"/>
    <col min="24" max="24" width="13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</row>
    <row r="2" spans="1:24" x14ac:dyDescent="0.3">
      <c r="A2">
        <v>1</v>
      </c>
      <c r="B2">
        <v>1</v>
      </c>
      <c r="C2">
        <v>1750891174</v>
      </c>
      <c r="D2">
        <v>1750891330.0099499</v>
      </c>
      <c r="E2">
        <v>156.00995449973399</v>
      </c>
      <c r="F2">
        <v>1750891174</v>
      </c>
      <c r="G2">
        <v>1750891374</v>
      </c>
      <c r="H2">
        <v>199.416</v>
      </c>
      <c r="I2">
        <v>-43.406045500265499</v>
      </c>
      <c r="J2">
        <v>43.406045500265499</v>
      </c>
      <c r="K2">
        <v>24.4248035073071</v>
      </c>
      <c r="L2">
        <v>-43.990045547485302</v>
      </c>
      <c r="M2">
        <v>43.990045547485302</v>
      </c>
      <c r="N2" s="2">
        <v>2.51243719361064E-6</v>
      </c>
      <c r="O2" s="3">
        <v>45833.944143518522</v>
      </c>
      <c r="P2" s="3">
        <v>45833.945949189816</v>
      </c>
      <c r="Q2" s="1" t="s">
        <v>18</v>
      </c>
      <c r="R2" s="1" t="s">
        <v>19</v>
      </c>
      <c r="T2">
        <f>H2-E2</f>
        <v>43.406045500266004</v>
      </c>
      <c r="U2">
        <f>AVERAGE(T2:T194)</f>
        <v>-14.402989614447645</v>
      </c>
      <c r="V2">
        <f>MEDIAN(T2:T194)</f>
        <v>-8.2887553478148064</v>
      </c>
      <c r="W2">
        <f>COUNTIF(T2:T194,"&lt;0")/COUNT(T2:T194)</f>
        <v>0.72020725388601037</v>
      </c>
      <c r="X2">
        <f>COUNTIF(T2:T194,"&gt;0")/COUNT(T2:T194)</f>
        <v>0.27979274611398963</v>
      </c>
    </row>
    <row r="3" spans="1:24" x14ac:dyDescent="0.3">
      <c r="A3">
        <v>2</v>
      </c>
      <c r="B3">
        <v>2</v>
      </c>
      <c r="C3">
        <v>1750891174</v>
      </c>
      <c r="D3">
        <v>1750891333.5753701</v>
      </c>
      <c r="E3">
        <v>159.575375445319</v>
      </c>
      <c r="F3">
        <v>1750891214</v>
      </c>
      <c r="G3">
        <v>1750891387</v>
      </c>
      <c r="H3">
        <v>173.506</v>
      </c>
      <c r="I3">
        <v>-13.9306245546806</v>
      </c>
      <c r="J3">
        <v>13.9306245546806</v>
      </c>
      <c r="K3">
        <v>8.3646973872711303</v>
      </c>
      <c r="L3">
        <v>-53.424624443054199</v>
      </c>
      <c r="M3">
        <v>53.424624443054199</v>
      </c>
      <c r="N3" s="2">
        <v>3.0512815160773902E-6</v>
      </c>
      <c r="O3" s="3">
        <v>45833.944143518522</v>
      </c>
      <c r="P3" s="3">
        <v>45833.945990451386</v>
      </c>
      <c r="Q3" s="1" t="s">
        <v>20</v>
      </c>
      <c r="R3" s="1" t="s">
        <v>21</v>
      </c>
      <c r="T3">
        <f t="shared" ref="T3:T66" si="0">H3-E3</f>
        <v>13.930624554681003</v>
      </c>
    </row>
    <row r="4" spans="1:24" x14ac:dyDescent="0.3">
      <c r="A4">
        <v>3</v>
      </c>
      <c r="B4">
        <v>3</v>
      </c>
      <c r="C4">
        <v>1750891174</v>
      </c>
      <c r="D4">
        <v>1750891345.23348</v>
      </c>
      <c r="E4">
        <v>171.23348565669301</v>
      </c>
      <c r="F4">
        <v>1750891292</v>
      </c>
      <c r="G4">
        <v>1750891477</v>
      </c>
      <c r="H4">
        <v>185.59</v>
      </c>
      <c r="I4">
        <v>-14.3565143433066</v>
      </c>
      <c r="J4">
        <v>14.3565143433066</v>
      </c>
      <c r="K4">
        <v>8.0468438431876805</v>
      </c>
      <c r="L4">
        <v>-131.76651430129999</v>
      </c>
      <c r="M4">
        <v>131.76651430129999</v>
      </c>
      <c r="N4" s="2">
        <v>7.5256816878927701E-6</v>
      </c>
      <c r="O4" s="3">
        <v>45833.944143518522</v>
      </c>
      <c r="P4" s="3">
        <v>45833.946125381946</v>
      </c>
      <c r="Q4" s="1" t="s">
        <v>22</v>
      </c>
      <c r="R4" s="1" t="s">
        <v>23</v>
      </c>
      <c r="T4">
        <f t="shared" si="0"/>
        <v>14.356514343306998</v>
      </c>
    </row>
    <row r="5" spans="1:24" x14ac:dyDescent="0.3">
      <c r="A5">
        <v>4</v>
      </c>
      <c r="B5">
        <v>1</v>
      </c>
      <c r="C5">
        <v>1750891330.0099499</v>
      </c>
      <c r="D5">
        <v>1750891487.0111899</v>
      </c>
      <c r="E5">
        <v>157.00123652758501</v>
      </c>
      <c r="F5">
        <v>1750891374</v>
      </c>
      <c r="G5">
        <v>1750891487</v>
      </c>
      <c r="H5">
        <v>113.304</v>
      </c>
      <c r="I5">
        <v>43.697236527585197</v>
      </c>
      <c r="J5">
        <v>43.697236527585197</v>
      </c>
      <c r="K5">
        <v>32.331772102480699</v>
      </c>
      <c r="L5">
        <v>1.1190891265869101E-2</v>
      </c>
      <c r="M5">
        <v>1.1190891265869101E-2</v>
      </c>
      <c r="N5" s="2">
        <v>6.3915390239334496E-10</v>
      </c>
      <c r="O5" s="3">
        <v>45833.945949189816</v>
      </c>
      <c r="P5" s="3">
        <v>45833.947766331017</v>
      </c>
      <c r="Q5" s="1" t="s">
        <v>19</v>
      </c>
      <c r="R5" s="1" t="s">
        <v>24</v>
      </c>
      <c r="T5">
        <f t="shared" si="0"/>
        <v>-43.697236527585005</v>
      </c>
    </row>
    <row r="6" spans="1:24" x14ac:dyDescent="0.3">
      <c r="A6">
        <v>5</v>
      </c>
      <c r="B6">
        <v>2</v>
      </c>
      <c r="C6">
        <v>1750891333.5753701</v>
      </c>
      <c r="D6">
        <v>1750891485.59725</v>
      </c>
      <c r="E6">
        <v>152.02187742485299</v>
      </c>
      <c r="F6">
        <v>1750891387</v>
      </c>
      <c r="G6">
        <v>1750891500</v>
      </c>
      <c r="H6">
        <v>112.85299999999999</v>
      </c>
      <c r="I6">
        <v>39.168877424853498</v>
      </c>
      <c r="J6">
        <v>39.168877424853498</v>
      </c>
      <c r="K6">
        <v>29.575381255978801</v>
      </c>
      <c r="L6">
        <v>-14.4027469158172</v>
      </c>
      <c r="M6">
        <v>14.4027469158172</v>
      </c>
      <c r="N6" s="2">
        <v>8.2259505943431598E-7</v>
      </c>
      <c r="O6" s="3">
        <v>45833.945990451386</v>
      </c>
      <c r="P6" s="3">
        <v>45833.947749965278</v>
      </c>
      <c r="Q6" s="1" t="s">
        <v>21</v>
      </c>
      <c r="R6" s="1" t="s">
        <v>25</v>
      </c>
      <c r="T6">
        <f t="shared" si="0"/>
        <v>-39.168877424852994</v>
      </c>
    </row>
    <row r="7" spans="1:24" x14ac:dyDescent="0.3">
      <c r="A7">
        <v>6</v>
      </c>
      <c r="B7">
        <v>3</v>
      </c>
      <c r="C7">
        <v>1750891345.23348</v>
      </c>
      <c r="D7">
        <v>1750891492.08109</v>
      </c>
      <c r="E7">
        <v>146.84761363265201</v>
      </c>
      <c r="F7">
        <v>1750891444</v>
      </c>
      <c r="G7">
        <v>1750891583</v>
      </c>
      <c r="H7">
        <v>138.92400000000001</v>
      </c>
      <c r="I7">
        <v>7.9236136326522599</v>
      </c>
      <c r="J7">
        <v>7.9236136326522599</v>
      </c>
      <c r="K7">
        <v>5.5454168676373401</v>
      </c>
      <c r="L7">
        <v>-90.918900728225694</v>
      </c>
      <c r="M7">
        <v>90.918900728225694</v>
      </c>
      <c r="N7" s="2">
        <v>5.1927203244090202E-6</v>
      </c>
      <c r="O7" s="3">
        <v>45833.946125381946</v>
      </c>
      <c r="P7" s="3">
        <v>45833.947825011572</v>
      </c>
      <c r="Q7" s="1" t="s">
        <v>26</v>
      </c>
      <c r="R7" s="1" t="s">
        <v>27</v>
      </c>
      <c r="T7">
        <f t="shared" si="0"/>
        <v>-7.9236136326520068</v>
      </c>
    </row>
    <row r="8" spans="1:24" x14ac:dyDescent="0.3">
      <c r="A8">
        <v>7</v>
      </c>
      <c r="B8">
        <v>2</v>
      </c>
      <c r="C8">
        <v>1750891485.59725</v>
      </c>
      <c r="D8">
        <v>1750891665.1143799</v>
      </c>
      <c r="E8">
        <v>179.51713568164001</v>
      </c>
      <c r="F8">
        <v>1750891477</v>
      </c>
      <c r="G8">
        <v>1750891630</v>
      </c>
      <c r="H8">
        <v>152.80000000000001</v>
      </c>
      <c r="I8">
        <v>26.717135681640801</v>
      </c>
      <c r="J8">
        <v>26.717135681640801</v>
      </c>
      <c r="K8">
        <v>16.079300651673702</v>
      </c>
      <c r="L8">
        <v>35.114388704299898</v>
      </c>
      <c r="M8">
        <v>35.114388704299898</v>
      </c>
      <c r="N8" s="2">
        <v>2.0055146618176301E-6</v>
      </c>
      <c r="O8" s="3">
        <v>45833.947749965278</v>
      </c>
      <c r="P8" s="3">
        <v>45833.949827708333</v>
      </c>
      <c r="Q8" s="1" t="s">
        <v>23</v>
      </c>
      <c r="R8" s="1" t="s">
        <v>28</v>
      </c>
      <c r="T8">
        <f t="shared" si="0"/>
        <v>-26.717135681640002</v>
      </c>
    </row>
    <row r="9" spans="1:24" x14ac:dyDescent="0.3">
      <c r="A9">
        <v>8</v>
      </c>
      <c r="B9">
        <v>1</v>
      </c>
      <c r="C9">
        <v>1750891487.0111899</v>
      </c>
      <c r="D9">
        <v>1750891638.8661301</v>
      </c>
      <c r="E9">
        <v>151.854940564077</v>
      </c>
      <c r="F9">
        <v>1750891487</v>
      </c>
      <c r="G9">
        <v>1750891612</v>
      </c>
      <c r="H9">
        <v>125.274</v>
      </c>
      <c r="I9">
        <v>26.580940564077501</v>
      </c>
      <c r="J9">
        <v>26.580940564077501</v>
      </c>
      <c r="K9">
        <v>19.183085324812101</v>
      </c>
      <c r="L9">
        <v>26.866131544113099</v>
      </c>
      <c r="M9">
        <v>26.866131544113099</v>
      </c>
      <c r="N9" s="2">
        <v>1.53442572651908E-6</v>
      </c>
      <c r="O9" s="3">
        <v>45833.947766331017</v>
      </c>
      <c r="P9" s="3">
        <v>45833.949523912037</v>
      </c>
      <c r="Q9" s="1" t="s">
        <v>24</v>
      </c>
      <c r="R9" s="1" t="s">
        <v>29</v>
      </c>
      <c r="T9">
        <f t="shared" si="0"/>
        <v>-26.580940564076997</v>
      </c>
    </row>
    <row r="10" spans="1:24" x14ac:dyDescent="0.3">
      <c r="A10">
        <v>9</v>
      </c>
      <c r="B10">
        <v>3</v>
      </c>
      <c r="C10">
        <v>1750891492.08109</v>
      </c>
      <c r="D10">
        <v>1750891616.6015999</v>
      </c>
      <c r="E10">
        <v>124.52050333138401</v>
      </c>
      <c r="F10">
        <v>1750891500</v>
      </c>
      <c r="G10">
        <v>1750891623</v>
      </c>
      <c r="H10">
        <v>122.907</v>
      </c>
      <c r="I10">
        <v>1.6135033313843601</v>
      </c>
      <c r="J10">
        <v>1.6135033313843601</v>
      </c>
      <c r="K10">
        <v>1.3042231034626399</v>
      </c>
      <c r="L10">
        <v>-6.39839744567871</v>
      </c>
      <c r="M10">
        <v>6.39839744567871</v>
      </c>
      <c r="N10" s="2">
        <v>3.6543652235919899E-7</v>
      </c>
      <c r="O10" s="3">
        <v>45833.947825011572</v>
      </c>
      <c r="P10" s="3">
        <v>45833.949266226853</v>
      </c>
      <c r="Q10" s="1" t="s">
        <v>25</v>
      </c>
      <c r="R10" s="1" t="s">
        <v>30</v>
      </c>
      <c r="T10">
        <f t="shared" si="0"/>
        <v>-1.6135033313840097</v>
      </c>
    </row>
    <row r="11" spans="1:24" x14ac:dyDescent="0.3">
      <c r="A11">
        <v>10</v>
      </c>
      <c r="B11">
        <v>3</v>
      </c>
      <c r="C11">
        <v>1750891616.6015999</v>
      </c>
      <c r="D11">
        <v>1750891761.75881</v>
      </c>
      <c r="E11">
        <v>145.15721537322301</v>
      </c>
      <c r="F11">
        <v>1750891583</v>
      </c>
      <c r="G11">
        <v>1750891698</v>
      </c>
      <c r="H11">
        <v>114.66200000000001</v>
      </c>
      <c r="I11">
        <v>30.495215373223399</v>
      </c>
      <c r="J11">
        <v>30.495215373223399</v>
      </c>
      <c r="K11">
        <v>23.474180175179001</v>
      </c>
      <c r="L11">
        <v>63.758817911148</v>
      </c>
      <c r="M11">
        <v>63.758817911148</v>
      </c>
      <c r="N11" s="2">
        <v>3.6415054582238101E-6</v>
      </c>
      <c r="O11" s="3">
        <v>45833.949266226853</v>
      </c>
      <c r="P11" s="3">
        <v>45833.95094628472</v>
      </c>
      <c r="Q11" s="1" t="s">
        <v>27</v>
      </c>
      <c r="R11" s="1" t="s">
        <v>31</v>
      </c>
      <c r="T11">
        <f t="shared" si="0"/>
        <v>-30.495215373223004</v>
      </c>
    </row>
    <row r="12" spans="1:24" x14ac:dyDescent="0.3">
      <c r="A12">
        <v>11</v>
      </c>
      <c r="B12">
        <v>1</v>
      </c>
      <c r="C12">
        <v>1750891638.8661301</v>
      </c>
      <c r="D12">
        <v>1750891763.1108501</v>
      </c>
      <c r="E12">
        <v>124.24472232107399</v>
      </c>
      <c r="F12">
        <v>1750891612</v>
      </c>
      <c r="G12">
        <v>1750891803</v>
      </c>
      <c r="H12">
        <v>190.374</v>
      </c>
      <c r="I12">
        <v>-66.129277678925703</v>
      </c>
      <c r="J12">
        <v>66.129277678925703</v>
      </c>
      <c r="K12">
        <v>42.037725657940697</v>
      </c>
      <c r="L12">
        <v>-39.889146089553797</v>
      </c>
      <c r="M12">
        <v>39.889146089553797</v>
      </c>
      <c r="N12" s="2">
        <v>2.27821881829524E-6</v>
      </c>
      <c r="O12" s="3">
        <v>45833.949523912037</v>
      </c>
      <c r="P12" s="3">
        <v>45833.950961932867</v>
      </c>
      <c r="Q12" s="1" t="s">
        <v>29</v>
      </c>
      <c r="R12" s="1" t="s">
        <v>32</v>
      </c>
      <c r="T12">
        <f t="shared" si="0"/>
        <v>66.129277678926002</v>
      </c>
    </row>
    <row r="13" spans="1:24" x14ac:dyDescent="0.3">
      <c r="A13">
        <v>12</v>
      </c>
      <c r="B13">
        <v>2</v>
      </c>
      <c r="C13">
        <v>1750891665.1143799</v>
      </c>
      <c r="D13">
        <v>1750891880.1911099</v>
      </c>
      <c r="E13">
        <v>215.076728431476</v>
      </c>
      <c r="F13">
        <v>1750891623</v>
      </c>
      <c r="G13">
        <v>1750891774</v>
      </c>
      <c r="H13">
        <v>150.74700000000001</v>
      </c>
      <c r="I13">
        <v>64.329728431476696</v>
      </c>
      <c r="J13">
        <v>64.329728431476696</v>
      </c>
      <c r="K13">
        <v>35.169795413381102</v>
      </c>
      <c r="L13">
        <v>106.191117048263</v>
      </c>
      <c r="M13">
        <v>106.191117048263</v>
      </c>
      <c r="N13" s="2">
        <v>6.0649730271696497E-6</v>
      </c>
      <c r="O13" s="3">
        <v>45833.949827708333</v>
      </c>
      <c r="P13" s="3">
        <v>45833.952317025462</v>
      </c>
      <c r="Q13" s="1" t="s">
        <v>30</v>
      </c>
      <c r="R13" s="1" t="s">
        <v>33</v>
      </c>
      <c r="T13">
        <f t="shared" si="0"/>
        <v>-64.329728431475985</v>
      </c>
    </row>
    <row r="14" spans="1:24" x14ac:dyDescent="0.3">
      <c r="A14">
        <v>13</v>
      </c>
      <c r="B14">
        <v>3</v>
      </c>
      <c r="C14">
        <v>1750891761.75881</v>
      </c>
      <c r="D14">
        <v>1750891882.9627299</v>
      </c>
      <c r="E14">
        <v>121.20391552522899</v>
      </c>
      <c r="F14">
        <v>1750891630</v>
      </c>
      <c r="G14">
        <v>1750891758</v>
      </c>
      <c r="H14">
        <v>127.88500000000001</v>
      </c>
      <c r="I14">
        <v>-6.6810844747710103</v>
      </c>
      <c r="J14">
        <v>6.6810844747710103</v>
      </c>
      <c r="K14">
        <v>5.3644173291961001</v>
      </c>
      <c r="L14">
        <v>124.962733507156</v>
      </c>
      <c r="M14">
        <v>124.962733507156</v>
      </c>
      <c r="N14" s="2">
        <v>7.1370904841397202E-6</v>
      </c>
      <c r="O14" s="3">
        <v>45833.95094628472</v>
      </c>
      <c r="P14" s="3">
        <v>45833.952349108797</v>
      </c>
      <c r="Q14" s="1" t="s">
        <v>28</v>
      </c>
      <c r="R14" s="1" t="s">
        <v>34</v>
      </c>
      <c r="T14">
        <f t="shared" si="0"/>
        <v>6.6810844747710121</v>
      </c>
    </row>
    <row r="15" spans="1:24" x14ac:dyDescent="0.3">
      <c r="A15">
        <v>14</v>
      </c>
      <c r="B15">
        <v>1</v>
      </c>
      <c r="C15">
        <v>1750891763.1108501</v>
      </c>
      <c r="D15">
        <v>1750891918.6793499</v>
      </c>
      <c r="E15">
        <v>155.56850047481601</v>
      </c>
      <c r="F15">
        <v>1750891697</v>
      </c>
      <c r="G15">
        <v>1750891813</v>
      </c>
      <c r="H15">
        <v>115.44499999999999</v>
      </c>
      <c r="I15">
        <v>40.123500474815998</v>
      </c>
      <c r="J15">
        <v>40.123500474815998</v>
      </c>
      <c r="K15">
        <v>29.609964377803699</v>
      </c>
      <c r="L15">
        <v>105.679354429245</v>
      </c>
      <c r="M15">
        <v>105.679354429245</v>
      </c>
      <c r="N15" s="2">
        <v>6.0357442107690701E-6</v>
      </c>
      <c r="O15" s="3">
        <v>45833.950961932867</v>
      </c>
      <c r="P15" s="3">
        <v>45833.952762488429</v>
      </c>
      <c r="Q15" s="1" t="s">
        <v>35</v>
      </c>
      <c r="R15" s="1" t="s">
        <v>36</v>
      </c>
      <c r="T15">
        <f t="shared" si="0"/>
        <v>-40.123500474816012</v>
      </c>
    </row>
    <row r="16" spans="1:24" x14ac:dyDescent="0.3">
      <c r="A16">
        <v>15</v>
      </c>
      <c r="B16">
        <v>2</v>
      </c>
      <c r="C16">
        <v>1750891880.1911099</v>
      </c>
      <c r="D16">
        <v>1750892030.95245</v>
      </c>
      <c r="E16">
        <v>150.76133796950899</v>
      </c>
      <c r="F16">
        <v>1750891758</v>
      </c>
      <c r="G16">
        <v>1750891873</v>
      </c>
      <c r="H16">
        <v>114.806</v>
      </c>
      <c r="I16">
        <v>35.955337969509401</v>
      </c>
      <c r="J16">
        <v>35.955337969509401</v>
      </c>
      <c r="K16">
        <v>27.0781326080374</v>
      </c>
      <c r="L16">
        <v>157.95245504379201</v>
      </c>
      <c r="M16">
        <v>157.95245504379201</v>
      </c>
      <c r="N16" s="2">
        <v>9.0212565581509503E-6</v>
      </c>
      <c r="O16" s="3">
        <v>45833.952317025462</v>
      </c>
      <c r="P16" s="3">
        <v>45833.954061944445</v>
      </c>
      <c r="Q16" s="1" t="s">
        <v>34</v>
      </c>
      <c r="R16" s="1" t="s">
        <v>37</v>
      </c>
      <c r="T16">
        <f t="shared" si="0"/>
        <v>-35.955337969508989</v>
      </c>
    </row>
    <row r="17" spans="1:20" x14ac:dyDescent="0.3">
      <c r="A17">
        <v>16</v>
      </c>
      <c r="B17">
        <v>3</v>
      </c>
      <c r="C17">
        <v>1750891882.9627299</v>
      </c>
      <c r="D17">
        <v>1750892027.6571</v>
      </c>
      <c r="E17">
        <v>144.69437270660799</v>
      </c>
      <c r="F17">
        <v>1750891774</v>
      </c>
      <c r="G17">
        <v>1750891891</v>
      </c>
      <c r="H17">
        <v>117.584</v>
      </c>
      <c r="I17">
        <v>27.110372706607901</v>
      </c>
      <c r="J17">
        <v>27.110372706607901</v>
      </c>
      <c r="K17">
        <v>20.6729761412195</v>
      </c>
      <c r="L17">
        <v>136.65710616111701</v>
      </c>
      <c r="M17">
        <v>136.65710616111701</v>
      </c>
      <c r="N17" s="2">
        <v>7.8049993566435608E-6</v>
      </c>
      <c r="O17" s="3">
        <v>45833.952349108797</v>
      </c>
      <c r="P17" s="3">
        <v>45833.95402380787</v>
      </c>
      <c r="Q17" s="1" t="s">
        <v>33</v>
      </c>
      <c r="R17" s="1" t="s">
        <v>38</v>
      </c>
      <c r="T17">
        <f t="shared" si="0"/>
        <v>-27.11037270660799</v>
      </c>
    </row>
    <row r="18" spans="1:20" x14ac:dyDescent="0.3">
      <c r="A18">
        <v>17</v>
      </c>
      <c r="B18">
        <v>1</v>
      </c>
      <c r="C18">
        <v>1750891918.6793499</v>
      </c>
      <c r="D18">
        <v>1750892099.9168301</v>
      </c>
      <c r="E18">
        <v>181.237478076874</v>
      </c>
      <c r="F18">
        <v>1750891803</v>
      </c>
      <c r="G18">
        <v>1750891952</v>
      </c>
      <c r="H18">
        <v>149.54</v>
      </c>
      <c r="I18">
        <v>31.697478076874098</v>
      </c>
      <c r="J18">
        <v>31.697478076874098</v>
      </c>
      <c r="K18">
        <v>19.1654391110071</v>
      </c>
      <c r="L18">
        <v>147.916832447052</v>
      </c>
      <c r="M18">
        <v>147.916832447052</v>
      </c>
      <c r="N18" s="2">
        <v>8.4480841910330898E-6</v>
      </c>
      <c r="O18" s="3">
        <v>45833.952762488429</v>
      </c>
      <c r="P18" s="3">
        <v>45833.954860150465</v>
      </c>
      <c r="Q18" s="1" t="s">
        <v>32</v>
      </c>
      <c r="R18" s="1" t="s">
        <v>39</v>
      </c>
      <c r="T18">
        <f t="shared" si="0"/>
        <v>-31.697478076874006</v>
      </c>
    </row>
    <row r="19" spans="1:20" x14ac:dyDescent="0.3">
      <c r="A19">
        <v>18</v>
      </c>
      <c r="B19">
        <v>3</v>
      </c>
      <c r="C19">
        <v>1750892027.6571</v>
      </c>
      <c r="D19">
        <v>1750892079.6413701</v>
      </c>
      <c r="E19">
        <v>51.984273522908602</v>
      </c>
      <c r="F19">
        <v>1750891813</v>
      </c>
      <c r="G19">
        <v>1750891868</v>
      </c>
      <c r="H19">
        <v>54.648000000000003</v>
      </c>
      <c r="I19">
        <v>-2.6637264770913802</v>
      </c>
      <c r="J19">
        <v>2.6637264770913802</v>
      </c>
      <c r="K19">
        <v>4.9960980650367901</v>
      </c>
      <c r="L19">
        <v>211.641379594802</v>
      </c>
      <c r="M19">
        <v>211.641379594802</v>
      </c>
      <c r="N19" s="2">
        <v>1.20876320617868E-5</v>
      </c>
      <c r="O19" s="3">
        <v>45833.95402380787</v>
      </c>
      <c r="P19" s="3">
        <v>45833.954625474536</v>
      </c>
      <c r="Q19" s="1" t="s">
        <v>36</v>
      </c>
      <c r="R19" s="1" t="s">
        <v>40</v>
      </c>
      <c r="T19">
        <f t="shared" si="0"/>
        <v>2.6637264770914015</v>
      </c>
    </row>
    <row r="20" spans="1:20" x14ac:dyDescent="0.3">
      <c r="A20">
        <v>19</v>
      </c>
      <c r="B20">
        <v>2</v>
      </c>
      <c r="C20">
        <v>1750892030.95245</v>
      </c>
      <c r="D20">
        <v>1750892089.1956401</v>
      </c>
      <c r="E20">
        <v>58.243185015710303</v>
      </c>
      <c r="F20">
        <v>1750891868</v>
      </c>
      <c r="G20">
        <v>1750891962</v>
      </c>
      <c r="H20">
        <v>93.855999999999995</v>
      </c>
      <c r="I20">
        <v>-35.612814984289599</v>
      </c>
      <c r="J20">
        <v>35.612814984289599</v>
      </c>
      <c r="K20">
        <v>46.828410001817197</v>
      </c>
      <c r="L20">
        <v>127.195640087127</v>
      </c>
      <c r="M20">
        <v>127.195640087127</v>
      </c>
      <c r="N20" s="2">
        <v>7.2646193041914299E-6</v>
      </c>
      <c r="O20" s="3">
        <v>45833.954061944445</v>
      </c>
      <c r="P20" s="3">
        <v>45833.954736064814</v>
      </c>
      <c r="Q20" s="1" t="s">
        <v>40</v>
      </c>
      <c r="R20" s="1" t="s">
        <v>41</v>
      </c>
      <c r="T20">
        <f t="shared" si="0"/>
        <v>35.612814984289692</v>
      </c>
    </row>
    <row r="21" spans="1:20" x14ac:dyDescent="0.3">
      <c r="A21">
        <v>20</v>
      </c>
      <c r="B21">
        <v>3</v>
      </c>
      <c r="C21">
        <v>1750892079.6413701</v>
      </c>
      <c r="D21">
        <v>1750892153.30656</v>
      </c>
      <c r="E21">
        <v>73.665189487631594</v>
      </c>
      <c r="F21">
        <v>1750891873</v>
      </c>
      <c r="G21">
        <v>1750891969</v>
      </c>
      <c r="H21">
        <v>96.444999999999993</v>
      </c>
      <c r="I21">
        <v>-22.7798105123683</v>
      </c>
      <c r="J21">
        <v>22.7798105123683</v>
      </c>
      <c r="K21">
        <v>26.782417421296898</v>
      </c>
      <c r="L21">
        <v>184.30656909942601</v>
      </c>
      <c r="M21">
        <v>184.30656909942601</v>
      </c>
      <c r="N21" s="2">
        <v>1.05264381048153E-5</v>
      </c>
      <c r="O21" s="3">
        <v>45833.954625474536</v>
      </c>
      <c r="P21" s="3">
        <v>45833.955478090276</v>
      </c>
      <c r="Q21" s="1" t="s">
        <v>37</v>
      </c>
      <c r="R21" s="1" t="s">
        <v>42</v>
      </c>
      <c r="T21">
        <f t="shared" si="0"/>
        <v>22.7798105123684</v>
      </c>
    </row>
    <row r="22" spans="1:20" x14ac:dyDescent="0.3">
      <c r="A22">
        <v>21</v>
      </c>
      <c r="B22">
        <v>2</v>
      </c>
      <c r="C22">
        <v>1750892089.1956401</v>
      </c>
      <c r="D22">
        <v>1750892146.4751</v>
      </c>
      <c r="E22">
        <v>57.279464352279199</v>
      </c>
      <c r="F22">
        <v>1750891891</v>
      </c>
      <c r="G22">
        <v>1750891975</v>
      </c>
      <c r="H22">
        <v>84.043999999999997</v>
      </c>
      <c r="I22">
        <v>-26.764535647720699</v>
      </c>
      <c r="J22">
        <v>26.764535647720699</v>
      </c>
      <c r="K22">
        <v>37.876987760509998</v>
      </c>
      <c r="L22">
        <v>171.47510433196999</v>
      </c>
      <c r="M22">
        <v>171.47510433196999</v>
      </c>
      <c r="N22" s="2">
        <v>9.7935851202464992E-6</v>
      </c>
      <c r="O22" s="3">
        <v>45833.954736064814</v>
      </c>
      <c r="P22" s="3">
        <v>45833.955399016202</v>
      </c>
      <c r="Q22" s="1" t="s">
        <v>38</v>
      </c>
      <c r="R22" s="1" t="s">
        <v>43</v>
      </c>
      <c r="T22">
        <f t="shared" si="0"/>
        <v>26.764535647720798</v>
      </c>
    </row>
    <row r="23" spans="1:20" x14ac:dyDescent="0.3">
      <c r="A23">
        <v>22</v>
      </c>
      <c r="B23">
        <v>1</v>
      </c>
      <c r="C23">
        <v>1750892099.9168301</v>
      </c>
      <c r="D23">
        <v>1750892181.1663001</v>
      </c>
      <c r="E23">
        <v>81.249477428737194</v>
      </c>
      <c r="F23">
        <v>1750891952</v>
      </c>
      <c r="G23">
        <v>1750892018</v>
      </c>
      <c r="H23">
        <v>66.41</v>
      </c>
      <c r="I23">
        <v>14.839477428737201</v>
      </c>
      <c r="J23">
        <v>14.839477428737201</v>
      </c>
      <c r="K23">
        <v>20.099593588090499</v>
      </c>
      <c r="L23">
        <v>163.16630983352599</v>
      </c>
      <c r="M23">
        <v>163.16630983352599</v>
      </c>
      <c r="N23" s="2">
        <v>9.3190385559665504E-6</v>
      </c>
      <c r="O23" s="3">
        <v>45833.954860150465</v>
      </c>
      <c r="P23" s="3">
        <v>45833.955800532407</v>
      </c>
      <c r="Q23" s="1" t="s">
        <v>39</v>
      </c>
      <c r="R23" s="1" t="s">
        <v>44</v>
      </c>
      <c r="T23">
        <f t="shared" si="0"/>
        <v>-14.839477428737197</v>
      </c>
    </row>
    <row r="24" spans="1:20" x14ac:dyDescent="0.3">
      <c r="A24">
        <v>23</v>
      </c>
      <c r="B24">
        <v>2</v>
      </c>
      <c r="C24">
        <v>1750892146.4751</v>
      </c>
      <c r="D24">
        <v>1750892234.17647</v>
      </c>
      <c r="E24">
        <v>87.701368597136195</v>
      </c>
      <c r="F24">
        <v>1750891962</v>
      </c>
      <c r="G24">
        <v>1750892044</v>
      </c>
      <c r="H24">
        <v>82.018000000000001</v>
      </c>
      <c r="I24">
        <v>5.68336859713619</v>
      </c>
      <c r="J24">
        <v>5.68336859713619</v>
      </c>
      <c r="K24">
        <v>6.6973718369490696</v>
      </c>
      <c r="L24">
        <v>190.17647290229701</v>
      </c>
      <c r="M24">
        <v>190.17647290229701</v>
      </c>
      <c r="N24" s="2">
        <v>1.0861689801253599E-5</v>
      </c>
      <c r="O24" s="3">
        <v>45833.955399016202</v>
      </c>
      <c r="P24" s="3">
        <v>45833.956414074077</v>
      </c>
      <c r="Q24" s="1" t="s">
        <v>41</v>
      </c>
      <c r="R24" s="1" t="s">
        <v>45</v>
      </c>
      <c r="T24">
        <f t="shared" si="0"/>
        <v>-5.6833685971361945</v>
      </c>
    </row>
    <row r="25" spans="1:20" x14ac:dyDescent="0.3">
      <c r="A25">
        <v>24</v>
      </c>
      <c r="B25">
        <v>3</v>
      </c>
      <c r="C25">
        <v>1750892153.30656</v>
      </c>
      <c r="D25">
        <v>1750892204.2695799</v>
      </c>
      <c r="E25">
        <v>50.963017436588402</v>
      </c>
      <c r="F25">
        <v>1750891969</v>
      </c>
      <c r="G25">
        <v>1750892043</v>
      </c>
      <c r="H25">
        <v>73.405000000000001</v>
      </c>
      <c r="I25">
        <v>-22.441982563411599</v>
      </c>
      <c r="J25">
        <v>22.441982563411599</v>
      </c>
      <c r="K25">
        <v>36.089636268189402</v>
      </c>
      <c r="L25">
        <v>161.26958656311001</v>
      </c>
      <c r="M25">
        <v>161.26958656311001</v>
      </c>
      <c r="N25" s="2">
        <v>9.2107094655449095E-6</v>
      </c>
      <c r="O25" s="3">
        <v>45833.955478090276</v>
      </c>
      <c r="P25" s="3">
        <v>45833.956067939813</v>
      </c>
      <c r="Q25" s="1" t="s">
        <v>42</v>
      </c>
      <c r="R25" s="1" t="s">
        <v>46</v>
      </c>
      <c r="T25">
        <f t="shared" si="0"/>
        <v>22.441982563411599</v>
      </c>
    </row>
    <row r="26" spans="1:20" x14ac:dyDescent="0.3">
      <c r="A26">
        <v>25</v>
      </c>
      <c r="B26">
        <v>1</v>
      </c>
      <c r="C26">
        <v>1750892181.1663001</v>
      </c>
      <c r="D26">
        <v>1750892236.02246</v>
      </c>
      <c r="E26">
        <v>54.856154762733198</v>
      </c>
      <c r="F26">
        <v>1750891975</v>
      </c>
      <c r="G26">
        <v>1750892081</v>
      </c>
      <c r="H26">
        <v>105.526</v>
      </c>
      <c r="I26">
        <v>-50.669845237266699</v>
      </c>
      <c r="J26">
        <v>50.669845237266699</v>
      </c>
      <c r="K26">
        <v>63.186387927293801</v>
      </c>
      <c r="L26">
        <v>155.022464513778</v>
      </c>
      <c r="M26">
        <v>155.022464513778</v>
      </c>
      <c r="N26" s="2">
        <v>8.8539127758498192E-6</v>
      </c>
      <c r="O26" s="3">
        <v>45833.955800532407</v>
      </c>
      <c r="P26" s="3">
        <v>45833.956435439817</v>
      </c>
      <c r="Q26" s="1" t="s">
        <v>43</v>
      </c>
      <c r="R26" s="1" t="s">
        <v>47</v>
      </c>
      <c r="T26">
        <f t="shared" si="0"/>
        <v>50.669845237266799</v>
      </c>
    </row>
    <row r="27" spans="1:20" x14ac:dyDescent="0.3">
      <c r="A27">
        <v>26</v>
      </c>
      <c r="B27">
        <v>3</v>
      </c>
      <c r="C27">
        <v>1750892204.2695799</v>
      </c>
      <c r="D27">
        <v>1750892242.8886299</v>
      </c>
      <c r="E27">
        <v>38.6190531527782</v>
      </c>
      <c r="F27">
        <v>1750892018</v>
      </c>
      <c r="G27">
        <v>1750892063</v>
      </c>
      <c r="H27">
        <v>45.079000000000001</v>
      </c>
      <c r="I27">
        <v>-6.4599468472217501</v>
      </c>
      <c r="J27">
        <v>6.4599468472217501</v>
      </c>
      <c r="K27">
        <v>15.436313280620899</v>
      </c>
      <c r="L27">
        <v>179.888639688491</v>
      </c>
      <c r="M27">
        <v>179.888639688491</v>
      </c>
      <c r="N27" s="2">
        <v>1.02741130792087E-5</v>
      </c>
      <c r="O27" s="3">
        <v>45833.956067939813</v>
      </c>
      <c r="P27" s="3">
        <v>45833.95651491898</v>
      </c>
      <c r="Q27" s="1" t="s">
        <v>44</v>
      </c>
      <c r="R27" s="1" t="s">
        <v>48</v>
      </c>
      <c r="T27">
        <f t="shared" si="0"/>
        <v>6.4599468472218007</v>
      </c>
    </row>
    <row r="28" spans="1:20" x14ac:dyDescent="0.3">
      <c r="A28">
        <v>27</v>
      </c>
      <c r="B28">
        <v>2</v>
      </c>
      <c r="C28">
        <v>1750892234.17647</v>
      </c>
      <c r="D28">
        <v>1750892294.9479001</v>
      </c>
      <c r="E28">
        <v>60.771427377556499</v>
      </c>
      <c r="F28">
        <v>1750892043</v>
      </c>
      <c r="G28">
        <v>1750892086</v>
      </c>
      <c r="H28">
        <v>43.198999999999998</v>
      </c>
      <c r="I28">
        <v>17.572427377556501</v>
      </c>
      <c r="J28">
        <v>17.572427377556501</v>
      </c>
      <c r="K28">
        <v>33.802741454056601</v>
      </c>
      <c r="L28">
        <v>208.947900295257</v>
      </c>
      <c r="M28">
        <v>208.947900295257</v>
      </c>
      <c r="N28" s="2">
        <v>1.19337958917217E-5</v>
      </c>
      <c r="O28" s="3">
        <v>45833.956414074077</v>
      </c>
      <c r="P28" s="3">
        <v>45833.957117453705</v>
      </c>
      <c r="Q28" s="1" t="s">
        <v>46</v>
      </c>
      <c r="R28" s="1" t="s">
        <v>49</v>
      </c>
      <c r="T28">
        <f t="shared" si="0"/>
        <v>-17.572427377556501</v>
      </c>
    </row>
    <row r="29" spans="1:20" x14ac:dyDescent="0.3">
      <c r="A29">
        <v>28</v>
      </c>
      <c r="B29">
        <v>1</v>
      </c>
      <c r="C29">
        <v>1750892236.02246</v>
      </c>
      <c r="D29">
        <v>1750892294.6926301</v>
      </c>
      <c r="E29">
        <v>58.670169693578202</v>
      </c>
      <c r="F29">
        <v>1750892044</v>
      </c>
      <c r="G29">
        <v>1750892132</v>
      </c>
      <c r="H29">
        <v>87.566999999999993</v>
      </c>
      <c r="I29">
        <v>-28.896830306421698</v>
      </c>
      <c r="J29">
        <v>28.896830306421698</v>
      </c>
      <c r="K29">
        <v>39.520499975446</v>
      </c>
      <c r="L29">
        <v>162.692634105682</v>
      </c>
      <c r="M29">
        <v>162.692634105682</v>
      </c>
      <c r="N29" s="2">
        <v>9.2919845588177606E-6</v>
      </c>
      <c r="O29" s="3">
        <v>45833.956435439817</v>
      </c>
      <c r="P29" s="3">
        <v>45833.957114502315</v>
      </c>
      <c r="Q29" s="1" t="s">
        <v>45</v>
      </c>
      <c r="R29" s="1" t="s">
        <v>50</v>
      </c>
      <c r="T29">
        <f t="shared" si="0"/>
        <v>28.896830306421791</v>
      </c>
    </row>
    <row r="30" spans="1:20" x14ac:dyDescent="0.3">
      <c r="A30">
        <v>29</v>
      </c>
      <c r="B30">
        <v>3</v>
      </c>
      <c r="C30">
        <v>1750892242.8886299</v>
      </c>
      <c r="D30">
        <v>1750892300.0603399</v>
      </c>
      <c r="E30">
        <v>57.1717040003264</v>
      </c>
      <c r="F30">
        <v>1750892063</v>
      </c>
      <c r="G30">
        <v>1750892127</v>
      </c>
      <c r="H30">
        <v>64.376999999999995</v>
      </c>
      <c r="I30">
        <v>-7.2052959996735799</v>
      </c>
      <c r="J30">
        <v>7.2052959996735799</v>
      </c>
      <c r="K30">
        <v>11.8558170717381</v>
      </c>
      <c r="L30">
        <v>173.06034374237001</v>
      </c>
      <c r="M30">
        <v>173.06034374237001</v>
      </c>
      <c r="N30" s="2">
        <v>9.8841232147262796E-6</v>
      </c>
      <c r="O30" s="3">
        <v>45833.95651491898</v>
      </c>
      <c r="P30" s="3">
        <v>45833.957176620374</v>
      </c>
      <c r="Q30" s="1" t="s">
        <v>48</v>
      </c>
      <c r="R30" s="1" t="s">
        <v>51</v>
      </c>
      <c r="T30">
        <f t="shared" si="0"/>
        <v>7.205295999673595</v>
      </c>
    </row>
    <row r="31" spans="1:20" x14ac:dyDescent="0.3">
      <c r="A31">
        <v>30</v>
      </c>
      <c r="B31">
        <v>1</v>
      </c>
      <c r="C31">
        <v>1750892294.6926301</v>
      </c>
      <c r="D31">
        <v>1750892346.6410201</v>
      </c>
      <c r="E31">
        <v>51.948388518121902</v>
      </c>
      <c r="F31">
        <v>1750892081</v>
      </c>
      <c r="G31">
        <v>1750892124</v>
      </c>
      <c r="H31">
        <v>42.926000000000002</v>
      </c>
      <c r="I31">
        <v>9.0223885181219696</v>
      </c>
      <c r="J31">
        <v>9.0223885181219696</v>
      </c>
      <c r="K31">
        <v>19.019650422091701</v>
      </c>
      <c r="L31">
        <v>222.641022682189</v>
      </c>
      <c r="M31">
        <v>222.641022682189</v>
      </c>
      <c r="N31" s="2">
        <v>1.27158609873801E-5</v>
      </c>
      <c r="O31" s="3">
        <v>45833.957114502315</v>
      </c>
      <c r="P31" s="3">
        <v>45833.957715752316</v>
      </c>
      <c r="Q31" s="1" t="s">
        <v>47</v>
      </c>
      <c r="R31" s="1" t="s">
        <v>52</v>
      </c>
      <c r="T31">
        <f t="shared" si="0"/>
        <v>-9.0223885181219003</v>
      </c>
    </row>
    <row r="32" spans="1:20" x14ac:dyDescent="0.3">
      <c r="A32">
        <v>31</v>
      </c>
      <c r="B32">
        <v>2</v>
      </c>
      <c r="C32">
        <v>1750892294.9479001</v>
      </c>
      <c r="D32">
        <v>1750892338.6821899</v>
      </c>
      <c r="E32">
        <v>43.7342931105064</v>
      </c>
      <c r="F32">
        <v>1750892086</v>
      </c>
      <c r="G32">
        <v>1750892138</v>
      </c>
      <c r="H32">
        <v>52.628</v>
      </c>
      <c r="I32">
        <v>-8.89370688949354</v>
      </c>
      <c r="J32">
        <v>8.89370688949354</v>
      </c>
      <c r="K32">
        <v>18.458894246724501</v>
      </c>
      <c r="L32">
        <v>200.682193517684</v>
      </c>
      <c r="M32">
        <v>200.682193517684</v>
      </c>
      <c r="N32" s="2">
        <v>1.1461710156864E-5</v>
      </c>
      <c r="O32" s="3">
        <v>45833.957117453705</v>
      </c>
      <c r="P32" s="3">
        <v>45833.957623634262</v>
      </c>
      <c r="Q32" s="1" t="s">
        <v>49</v>
      </c>
      <c r="R32" s="1" t="s">
        <v>53</v>
      </c>
      <c r="T32">
        <f t="shared" si="0"/>
        <v>8.8937068894936004</v>
      </c>
    </row>
    <row r="33" spans="1:20" x14ac:dyDescent="0.3">
      <c r="A33">
        <v>32</v>
      </c>
      <c r="B33">
        <v>3</v>
      </c>
      <c r="C33">
        <v>1750892300.0603399</v>
      </c>
      <c r="D33">
        <v>1750892369.2918301</v>
      </c>
      <c r="E33">
        <v>69.231496157133094</v>
      </c>
      <c r="F33">
        <v>1750892124</v>
      </c>
      <c r="G33">
        <v>1750892192</v>
      </c>
      <c r="H33">
        <v>67.881</v>
      </c>
      <c r="I33">
        <v>1.35049615713315</v>
      </c>
      <c r="J33">
        <v>1.35049615713315</v>
      </c>
      <c r="K33">
        <v>1.9699096653968799</v>
      </c>
      <c r="L33">
        <v>177.29183983802699</v>
      </c>
      <c r="M33">
        <v>177.29183983802699</v>
      </c>
      <c r="N33" s="2">
        <v>1.01257993879911E-5</v>
      </c>
      <c r="O33" s="3">
        <v>45833.957176620374</v>
      </c>
      <c r="P33" s="3">
        <v>45833.957977916667</v>
      </c>
      <c r="Q33" s="1" t="s">
        <v>52</v>
      </c>
      <c r="R33" s="1" t="s">
        <v>54</v>
      </c>
      <c r="T33">
        <f t="shared" si="0"/>
        <v>-1.3504961571330938</v>
      </c>
    </row>
    <row r="34" spans="1:20" x14ac:dyDescent="0.3">
      <c r="A34">
        <v>33</v>
      </c>
      <c r="B34">
        <v>2</v>
      </c>
      <c r="C34">
        <v>1750892338.6821899</v>
      </c>
      <c r="D34">
        <v>1750892408.2272301</v>
      </c>
      <c r="E34">
        <v>69.545046216512105</v>
      </c>
      <c r="F34">
        <v>1750892127</v>
      </c>
      <c r="G34">
        <v>1750892200</v>
      </c>
      <c r="H34">
        <v>72.698999999999998</v>
      </c>
      <c r="I34">
        <v>-3.1539537834878701</v>
      </c>
      <c r="J34">
        <v>3.1539537834878701</v>
      </c>
      <c r="K34">
        <v>4.4345670238980501</v>
      </c>
      <c r="L34">
        <v>208.227239847183</v>
      </c>
      <c r="M34">
        <v>208.227239847183</v>
      </c>
      <c r="N34" s="2">
        <v>1.1892635506933501E-5</v>
      </c>
      <c r="O34" s="3">
        <v>45833.957623634262</v>
      </c>
      <c r="P34" s="3">
        <v>45833.95842855324</v>
      </c>
      <c r="Q34" s="1" t="s">
        <v>51</v>
      </c>
      <c r="R34" s="1" t="s">
        <v>55</v>
      </c>
      <c r="T34">
        <f t="shared" si="0"/>
        <v>3.1539537834878928</v>
      </c>
    </row>
    <row r="35" spans="1:20" x14ac:dyDescent="0.3">
      <c r="A35">
        <v>34</v>
      </c>
      <c r="B35">
        <v>1</v>
      </c>
      <c r="C35">
        <v>1750892346.6410201</v>
      </c>
      <c r="D35">
        <v>1750892413.8354499</v>
      </c>
      <c r="E35">
        <v>67.194435421716605</v>
      </c>
      <c r="F35">
        <v>1750892132</v>
      </c>
      <c r="G35">
        <v>1750892203</v>
      </c>
      <c r="H35">
        <v>71.662999999999997</v>
      </c>
      <c r="I35">
        <v>-4.4685645782833703</v>
      </c>
      <c r="J35">
        <v>4.4685645782833703</v>
      </c>
      <c r="K35">
        <v>6.43619056439021</v>
      </c>
      <c r="L35">
        <v>210.835458040237</v>
      </c>
      <c r="M35">
        <v>210.835458040237</v>
      </c>
      <c r="N35" s="2">
        <v>1.2041600561417E-5</v>
      </c>
      <c r="O35" s="3">
        <v>45833.957715752316</v>
      </c>
      <c r="P35" s="3">
        <v>45833.958493460646</v>
      </c>
      <c r="Q35" s="1" t="s">
        <v>50</v>
      </c>
      <c r="R35" s="1" t="s">
        <v>56</v>
      </c>
      <c r="T35">
        <f t="shared" si="0"/>
        <v>4.4685645782833916</v>
      </c>
    </row>
    <row r="36" spans="1:20" x14ac:dyDescent="0.3">
      <c r="A36">
        <v>35</v>
      </c>
      <c r="B36">
        <v>3</v>
      </c>
      <c r="C36">
        <v>1750892369.2918301</v>
      </c>
      <c r="D36">
        <v>1750892436.7825401</v>
      </c>
      <c r="E36">
        <v>67.490705874859501</v>
      </c>
      <c r="F36">
        <v>1750892138</v>
      </c>
      <c r="G36">
        <v>1750892206</v>
      </c>
      <c r="H36">
        <v>67.811000000000007</v>
      </c>
      <c r="I36">
        <v>-0.32029412514042099</v>
      </c>
      <c r="J36">
        <v>0.32029412514042099</v>
      </c>
      <c r="K36">
        <v>0.47345171750703702</v>
      </c>
      <c r="L36">
        <v>230.78254580497699</v>
      </c>
      <c r="M36">
        <v>230.78254580497699</v>
      </c>
      <c r="N36" s="2">
        <v>1.3180853156155E-5</v>
      </c>
      <c r="O36" s="3">
        <v>45833.957977916667</v>
      </c>
      <c r="P36" s="3">
        <v>45833.958759062501</v>
      </c>
      <c r="Q36" s="1" t="s">
        <v>53</v>
      </c>
      <c r="R36" s="1" t="s">
        <v>57</v>
      </c>
      <c r="T36">
        <f t="shared" si="0"/>
        <v>0.32029412514050648</v>
      </c>
    </row>
    <row r="37" spans="1:20" x14ac:dyDescent="0.3">
      <c r="A37">
        <v>36</v>
      </c>
      <c r="B37">
        <v>2</v>
      </c>
      <c r="C37">
        <v>1750892408.2272301</v>
      </c>
      <c r="D37">
        <v>1750892477.8464899</v>
      </c>
      <c r="E37">
        <v>69.619250543099199</v>
      </c>
      <c r="F37">
        <v>1750892192</v>
      </c>
      <c r="G37">
        <v>1750892259</v>
      </c>
      <c r="H37">
        <v>66.587000000000003</v>
      </c>
      <c r="I37">
        <v>3.0322505430992601</v>
      </c>
      <c r="J37">
        <v>3.0322505430992601</v>
      </c>
      <c r="K37">
        <v>4.4524396362262104</v>
      </c>
      <c r="L37">
        <v>218.84649038314799</v>
      </c>
      <c r="M37">
        <v>218.84649038314799</v>
      </c>
      <c r="N37" s="2">
        <v>1.24991401144908E-5</v>
      </c>
      <c r="O37" s="3">
        <v>45833.95842855324</v>
      </c>
      <c r="P37" s="3">
        <v>45833.9592343287</v>
      </c>
      <c r="Q37" s="1" t="s">
        <v>54</v>
      </c>
      <c r="R37" s="1" t="s">
        <v>58</v>
      </c>
      <c r="T37">
        <f t="shared" si="0"/>
        <v>-3.0322505430991953</v>
      </c>
    </row>
    <row r="38" spans="1:20" x14ac:dyDescent="0.3">
      <c r="A38">
        <v>37</v>
      </c>
      <c r="B38">
        <v>1</v>
      </c>
      <c r="C38">
        <v>1750892413.8354499</v>
      </c>
      <c r="D38">
        <v>1750892484.4600501</v>
      </c>
      <c r="E38">
        <v>70.624593957570198</v>
      </c>
      <c r="F38">
        <v>1750892200</v>
      </c>
      <c r="G38">
        <v>1750892264</v>
      </c>
      <c r="H38">
        <v>64.265000000000001</v>
      </c>
      <c r="I38">
        <v>6.3595939575702598</v>
      </c>
      <c r="J38">
        <v>6.3595939575702598</v>
      </c>
      <c r="K38">
        <v>9.4293321982579101</v>
      </c>
      <c r="L38">
        <v>220.46005201339699</v>
      </c>
      <c r="M38">
        <v>220.46005201339699</v>
      </c>
      <c r="N38" s="2">
        <v>1.2591296601559901E-5</v>
      </c>
      <c r="O38" s="3">
        <v>45833.958493460646</v>
      </c>
      <c r="P38" s="3">
        <v>45833.959310879633</v>
      </c>
      <c r="Q38" s="1" t="s">
        <v>55</v>
      </c>
      <c r="R38" s="1" t="s">
        <v>59</v>
      </c>
      <c r="T38">
        <f t="shared" si="0"/>
        <v>-6.3595939575701976</v>
      </c>
    </row>
    <row r="39" spans="1:20" x14ac:dyDescent="0.3">
      <c r="A39">
        <v>38</v>
      </c>
      <c r="B39">
        <v>3</v>
      </c>
      <c r="C39">
        <v>1750892436.7825401</v>
      </c>
      <c r="D39">
        <v>1750892519.6865399</v>
      </c>
      <c r="E39">
        <v>82.904000129867299</v>
      </c>
      <c r="F39">
        <v>1750892203</v>
      </c>
      <c r="G39">
        <v>1750892272</v>
      </c>
      <c r="H39">
        <v>69.64</v>
      </c>
      <c r="I39">
        <v>13.2640001298673</v>
      </c>
      <c r="J39">
        <v>13.2640001298673</v>
      </c>
      <c r="K39">
        <v>17.390392435723498</v>
      </c>
      <c r="L39">
        <v>247.68654584884601</v>
      </c>
      <c r="M39">
        <v>247.68654584884601</v>
      </c>
      <c r="N39" s="2">
        <v>1.4146303133012E-5</v>
      </c>
      <c r="O39" s="3">
        <v>45833.958759062501</v>
      </c>
      <c r="P39" s="3">
        <v>45833.959718599537</v>
      </c>
      <c r="Q39" s="1" t="s">
        <v>56</v>
      </c>
      <c r="R39" s="1" t="s">
        <v>60</v>
      </c>
      <c r="T39">
        <f t="shared" si="0"/>
        <v>-13.264000129867298</v>
      </c>
    </row>
    <row r="40" spans="1:20" x14ac:dyDescent="0.3">
      <c r="A40">
        <v>39</v>
      </c>
      <c r="B40">
        <v>2</v>
      </c>
      <c r="C40">
        <v>1750892477.8464899</v>
      </c>
      <c r="D40">
        <v>1750892548.41695</v>
      </c>
      <c r="E40">
        <v>70.570468471935499</v>
      </c>
      <c r="F40">
        <v>1750892206</v>
      </c>
      <c r="G40">
        <v>1750892270</v>
      </c>
      <c r="H40">
        <v>64.004000000000005</v>
      </c>
      <c r="I40">
        <v>6.5664684719355</v>
      </c>
      <c r="J40">
        <v>6.5664684719355</v>
      </c>
      <c r="K40">
        <v>9.7588622069198703</v>
      </c>
      <c r="L40">
        <v>278.41695880889802</v>
      </c>
      <c r="M40">
        <v>278.41695880889802</v>
      </c>
      <c r="N40" s="2">
        <v>1.59014315982306E-5</v>
      </c>
      <c r="O40" s="3">
        <v>45833.9592343287</v>
      </c>
      <c r="P40" s="3">
        <v>45833.960051122682</v>
      </c>
      <c r="Q40" s="1" t="s">
        <v>57</v>
      </c>
      <c r="R40" s="1" t="s">
        <v>61</v>
      </c>
      <c r="T40">
        <f t="shared" si="0"/>
        <v>-6.5664684719354938</v>
      </c>
    </row>
    <row r="41" spans="1:20" x14ac:dyDescent="0.3">
      <c r="A41">
        <v>40</v>
      </c>
      <c r="B41">
        <v>1</v>
      </c>
      <c r="C41">
        <v>1750892484.4600501</v>
      </c>
      <c r="D41">
        <v>1750892568.4965799</v>
      </c>
      <c r="E41">
        <v>84.036531460166898</v>
      </c>
      <c r="F41">
        <v>1750892258</v>
      </c>
      <c r="G41">
        <v>1750892323</v>
      </c>
      <c r="H41">
        <v>65.113</v>
      </c>
      <c r="I41">
        <v>18.923531460166899</v>
      </c>
      <c r="J41">
        <v>18.923531460166899</v>
      </c>
      <c r="K41">
        <v>25.3752476121198</v>
      </c>
      <c r="L41">
        <v>245.49658346176099</v>
      </c>
      <c r="M41">
        <v>245.49658346176099</v>
      </c>
      <c r="N41" s="2">
        <v>1.4021225807324801E-5</v>
      </c>
      <c r="O41" s="3">
        <v>45833.959310879633</v>
      </c>
      <c r="P41" s="3">
        <v>45833.96028353009</v>
      </c>
      <c r="Q41" s="1" t="s">
        <v>62</v>
      </c>
      <c r="R41" s="1" t="s">
        <v>63</v>
      </c>
      <c r="T41">
        <f t="shared" si="0"/>
        <v>-18.923531460166899</v>
      </c>
    </row>
    <row r="42" spans="1:20" x14ac:dyDescent="0.3">
      <c r="A42">
        <v>41</v>
      </c>
      <c r="B42">
        <v>3</v>
      </c>
      <c r="C42">
        <v>1750892519.6865399</v>
      </c>
      <c r="D42">
        <v>1750892586.7908001</v>
      </c>
      <c r="E42">
        <v>67.104263955458904</v>
      </c>
      <c r="F42">
        <v>1750892264</v>
      </c>
      <c r="G42">
        <v>1750892333</v>
      </c>
      <c r="H42">
        <v>68.891000000000005</v>
      </c>
      <c r="I42">
        <v>-1.7867360445411</v>
      </c>
      <c r="J42">
        <v>1.7867360445411</v>
      </c>
      <c r="K42">
        <v>2.6276445113945899</v>
      </c>
      <c r="L42">
        <v>253.79080986976601</v>
      </c>
      <c r="M42">
        <v>253.79080986976601</v>
      </c>
      <c r="N42" s="2">
        <v>1.44949399053855E-5</v>
      </c>
      <c r="O42" s="3">
        <v>45833.959718599537</v>
      </c>
      <c r="P42" s="3">
        <v>45833.960495266205</v>
      </c>
      <c r="Q42" s="1" t="s">
        <v>59</v>
      </c>
      <c r="R42" s="1" t="s">
        <v>64</v>
      </c>
      <c r="T42">
        <f t="shared" si="0"/>
        <v>1.7867360445411009</v>
      </c>
    </row>
    <row r="43" spans="1:20" x14ac:dyDescent="0.3">
      <c r="A43">
        <v>42</v>
      </c>
      <c r="B43">
        <v>2</v>
      </c>
      <c r="C43">
        <v>1750892548.41695</v>
      </c>
      <c r="D43">
        <v>1750892625.3115101</v>
      </c>
      <c r="E43">
        <v>76.894560743913502</v>
      </c>
      <c r="F43">
        <v>1750892270</v>
      </c>
      <c r="G43">
        <v>1750892335</v>
      </c>
      <c r="H43">
        <v>64.63</v>
      </c>
      <c r="I43">
        <v>12.264560743913499</v>
      </c>
      <c r="J43">
        <v>12.264560743913499</v>
      </c>
      <c r="K43">
        <v>17.332059791524099</v>
      </c>
      <c r="L43">
        <v>290.311519622802</v>
      </c>
      <c r="M43">
        <v>290.311519622802</v>
      </c>
      <c r="N43" s="2">
        <v>1.6580773686170401E-5</v>
      </c>
      <c r="O43" s="3">
        <v>45833.960051122682</v>
      </c>
      <c r="P43" s="3">
        <v>45833.960941111109</v>
      </c>
      <c r="Q43" s="1" t="s">
        <v>61</v>
      </c>
      <c r="R43" s="1" t="s">
        <v>65</v>
      </c>
      <c r="T43">
        <f t="shared" si="0"/>
        <v>-12.264560743913506</v>
      </c>
    </row>
    <row r="44" spans="1:20" x14ac:dyDescent="0.3">
      <c r="A44">
        <v>43</v>
      </c>
      <c r="B44">
        <v>1</v>
      </c>
      <c r="C44">
        <v>1750892568.4965799</v>
      </c>
      <c r="D44">
        <v>1750892641.66587</v>
      </c>
      <c r="E44">
        <v>73.169289479751001</v>
      </c>
      <c r="F44">
        <v>1750892272</v>
      </c>
      <c r="G44">
        <v>1750892328</v>
      </c>
      <c r="H44">
        <v>56.186999999999998</v>
      </c>
      <c r="I44">
        <v>16.982289479751</v>
      </c>
      <c r="J44">
        <v>16.982289479751</v>
      </c>
      <c r="K44">
        <v>26.256611948365101</v>
      </c>
      <c r="L44">
        <v>313.66587305068902</v>
      </c>
      <c r="M44">
        <v>313.66587305068902</v>
      </c>
      <c r="N44" s="2">
        <v>1.7914627869375901E-5</v>
      </c>
      <c r="O44" s="3">
        <v>45833.96028353009</v>
      </c>
      <c r="P44" s="3">
        <v>45833.961130393516</v>
      </c>
      <c r="Q44" s="1" t="s">
        <v>60</v>
      </c>
      <c r="R44" s="1" t="s">
        <v>66</v>
      </c>
      <c r="T44">
        <f t="shared" si="0"/>
        <v>-16.982289479751003</v>
      </c>
    </row>
    <row r="45" spans="1:20" x14ac:dyDescent="0.3">
      <c r="A45">
        <v>44</v>
      </c>
      <c r="B45">
        <v>3</v>
      </c>
      <c r="C45">
        <v>1750892586.7908001</v>
      </c>
      <c r="D45">
        <v>1750892658.7427101</v>
      </c>
      <c r="E45">
        <v>71.951903239225501</v>
      </c>
      <c r="F45">
        <v>1750892323</v>
      </c>
      <c r="G45">
        <v>1750892388</v>
      </c>
      <c r="H45">
        <v>64.531000000000006</v>
      </c>
      <c r="I45">
        <v>7.4209032392255097</v>
      </c>
      <c r="J45">
        <v>7.4209032392255097</v>
      </c>
      <c r="K45">
        <v>10.874480338710599</v>
      </c>
      <c r="L45">
        <v>270.74271321296601</v>
      </c>
      <c r="M45">
        <v>270.74271321296601</v>
      </c>
      <c r="N45" s="2">
        <v>1.5463125782937801E-5</v>
      </c>
      <c r="O45" s="3">
        <v>45833.960495266205</v>
      </c>
      <c r="P45" s="3">
        <v>45833.961328043981</v>
      </c>
      <c r="Q45" s="1" t="s">
        <v>63</v>
      </c>
      <c r="R45" s="1" t="s">
        <v>67</v>
      </c>
      <c r="T45">
        <f t="shared" si="0"/>
        <v>-7.4209032392254954</v>
      </c>
    </row>
    <row r="46" spans="1:20" x14ac:dyDescent="0.3">
      <c r="A46">
        <v>45</v>
      </c>
      <c r="B46">
        <v>2</v>
      </c>
      <c r="C46">
        <v>1750892625.3115101</v>
      </c>
      <c r="D46">
        <v>1750892699.3664</v>
      </c>
      <c r="E46">
        <v>74.054883875721202</v>
      </c>
      <c r="F46">
        <v>1750892328</v>
      </c>
      <c r="G46">
        <v>1750892396</v>
      </c>
      <c r="H46">
        <v>68.147999999999996</v>
      </c>
      <c r="I46">
        <v>5.9068838757212196</v>
      </c>
      <c r="J46">
        <v>5.9068838757212196</v>
      </c>
      <c r="K46">
        <v>8.3076850690082509</v>
      </c>
      <c r="L46">
        <v>303.366403579711</v>
      </c>
      <c r="M46">
        <v>303.366403579711</v>
      </c>
      <c r="N46" s="2">
        <v>1.7326386132668601E-5</v>
      </c>
      <c r="O46" s="3">
        <v>45833.960941111109</v>
      </c>
      <c r="P46" s="3">
        <v>45833.961798217591</v>
      </c>
      <c r="Q46" s="1" t="s">
        <v>66</v>
      </c>
      <c r="R46" s="1" t="s">
        <v>68</v>
      </c>
      <c r="T46">
        <f t="shared" si="0"/>
        <v>-5.9068838757212063</v>
      </c>
    </row>
    <row r="47" spans="1:20" x14ac:dyDescent="0.3">
      <c r="A47">
        <v>46</v>
      </c>
      <c r="B47">
        <v>1</v>
      </c>
      <c r="C47">
        <v>1750892641.66587</v>
      </c>
      <c r="D47">
        <v>1750892715.02665</v>
      </c>
      <c r="E47">
        <v>73.360786003675997</v>
      </c>
      <c r="F47">
        <v>1750892333</v>
      </c>
      <c r="G47">
        <v>1750892402</v>
      </c>
      <c r="H47">
        <v>68.602000000000004</v>
      </c>
      <c r="I47">
        <v>4.7587860036760299</v>
      </c>
      <c r="J47">
        <v>4.7587860036760299</v>
      </c>
      <c r="K47">
        <v>6.7042724894858097</v>
      </c>
      <c r="L47">
        <v>313.02665901184002</v>
      </c>
      <c r="M47">
        <v>313.02665901184002</v>
      </c>
      <c r="N47" s="2">
        <v>1.7878119219241501E-5</v>
      </c>
      <c r="O47" s="3">
        <v>45833.961130393516</v>
      </c>
      <c r="P47" s="3">
        <v>45833.961979479165</v>
      </c>
      <c r="Q47" s="1" t="s">
        <v>64</v>
      </c>
      <c r="R47" s="1" t="s">
        <v>69</v>
      </c>
      <c r="T47">
        <f t="shared" si="0"/>
        <v>-4.7587860036759935</v>
      </c>
    </row>
    <row r="48" spans="1:20" x14ac:dyDescent="0.3">
      <c r="A48">
        <v>47</v>
      </c>
      <c r="B48">
        <v>3</v>
      </c>
      <c r="C48">
        <v>1750892658.7427101</v>
      </c>
      <c r="D48">
        <v>1750892728.4720299</v>
      </c>
      <c r="E48">
        <v>69.7293178067235</v>
      </c>
      <c r="F48">
        <v>1750892335</v>
      </c>
      <c r="G48">
        <v>1750892406</v>
      </c>
      <c r="H48">
        <v>71.378</v>
      </c>
      <c r="I48">
        <v>-1.6486821932764499</v>
      </c>
      <c r="J48">
        <v>1.6486821932764499</v>
      </c>
      <c r="K48">
        <v>2.33677773612659</v>
      </c>
      <c r="L48">
        <v>322.47203111648503</v>
      </c>
      <c r="M48">
        <v>322.47203111648503</v>
      </c>
      <c r="N48" s="2">
        <v>1.8417579533480101E-5</v>
      </c>
      <c r="O48" s="3">
        <v>45833.961328043981</v>
      </c>
      <c r="P48" s="3">
        <v>45833.962135092595</v>
      </c>
      <c r="Q48" s="1" t="s">
        <v>65</v>
      </c>
      <c r="R48" s="1" t="s">
        <v>70</v>
      </c>
      <c r="T48">
        <f t="shared" si="0"/>
        <v>1.6486821932764997</v>
      </c>
    </row>
    <row r="49" spans="1:20" x14ac:dyDescent="0.3">
      <c r="A49">
        <v>48</v>
      </c>
      <c r="B49">
        <v>2</v>
      </c>
      <c r="C49">
        <v>1750892699.3664</v>
      </c>
      <c r="D49">
        <v>1750892771.80931</v>
      </c>
      <c r="E49">
        <v>72.442909356082097</v>
      </c>
      <c r="F49">
        <v>1750892388</v>
      </c>
      <c r="G49">
        <v>1750892454</v>
      </c>
      <c r="H49">
        <v>65.984999999999999</v>
      </c>
      <c r="I49">
        <v>6.4579093560821503</v>
      </c>
      <c r="J49">
        <v>6.4579093560821503</v>
      </c>
      <c r="K49">
        <v>9.3303574201504205</v>
      </c>
      <c r="L49">
        <v>317.809312820434</v>
      </c>
      <c r="M49">
        <v>317.809312820434</v>
      </c>
      <c r="N49" s="2">
        <v>1.8151273840444301E-5</v>
      </c>
      <c r="O49" s="3">
        <v>45833.961798217591</v>
      </c>
      <c r="P49" s="3">
        <v>45833.96263667824</v>
      </c>
      <c r="Q49" s="1" t="s">
        <v>67</v>
      </c>
      <c r="R49" s="1" t="s">
        <v>71</v>
      </c>
      <c r="T49">
        <f t="shared" si="0"/>
        <v>-6.4579093560820979</v>
      </c>
    </row>
    <row r="50" spans="1:20" x14ac:dyDescent="0.3">
      <c r="A50">
        <v>49</v>
      </c>
      <c r="B50">
        <v>1</v>
      </c>
      <c r="C50">
        <v>1750892715.02665</v>
      </c>
      <c r="D50">
        <v>1750892789.32548</v>
      </c>
      <c r="E50">
        <v>74.298823654561502</v>
      </c>
      <c r="F50">
        <v>1750892396</v>
      </c>
      <c r="G50">
        <v>1750892458</v>
      </c>
      <c r="H50">
        <v>61.966000000000001</v>
      </c>
      <c r="I50">
        <v>12.3328236545615</v>
      </c>
      <c r="J50">
        <v>12.3328236545615</v>
      </c>
      <c r="K50">
        <v>18.1012580118635</v>
      </c>
      <c r="L50">
        <v>331.32548260688702</v>
      </c>
      <c r="M50">
        <v>331.32548260688702</v>
      </c>
      <c r="N50" s="2">
        <v>1.8923232534601598E-5</v>
      </c>
      <c r="O50" s="3">
        <v>45833.961979479165</v>
      </c>
      <c r="P50" s="3">
        <v>45833.962839409724</v>
      </c>
      <c r="Q50" s="1" t="s">
        <v>68</v>
      </c>
      <c r="R50" s="1" t="s">
        <v>72</v>
      </c>
      <c r="T50">
        <f t="shared" si="0"/>
        <v>-12.332823654561501</v>
      </c>
    </row>
    <row r="51" spans="1:20" x14ac:dyDescent="0.3">
      <c r="A51">
        <v>50</v>
      </c>
      <c r="B51">
        <v>3</v>
      </c>
      <c r="C51">
        <v>1750892728.4720299</v>
      </c>
      <c r="D51">
        <v>1750892803.97173</v>
      </c>
      <c r="E51">
        <v>75.499707704028395</v>
      </c>
      <c r="F51">
        <v>1750892401</v>
      </c>
      <c r="G51">
        <v>1750892466</v>
      </c>
      <c r="H51">
        <v>64.224999999999994</v>
      </c>
      <c r="I51">
        <v>11.274707704028399</v>
      </c>
      <c r="J51">
        <v>11.274707704028399</v>
      </c>
      <c r="K51">
        <v>16.138459531310701</v>
      </c>
      <c r="L51">
        <v>337.97173881530699</v>
      </c>
      <c r="M51">
        <v>337.97173881530699</v>
      </c>
      <c r="N51" s="2">
        <v>1.93028248598484E-5</v>
      </c>
      <c r="O51" s="3">
        <v>45833.962135092595</v>
      </c>
      <c r="P51" s="3">
        <v>45833.963008935185</v>
      </c>
      <c r="Q51" s="1" t="s">
        <v>73</v>
      </c>
      <c r="R51" s="1" t="s">
        <v>74</v>
      </c>
      <c r="T51">
        <f t="shared" si="0"/>
        <v>-11.274707704028401</v>
      </c>
    </row>
    <row r="52" spans="1:20" x14ac:dyDescent="0.3">
      <c r="A52">
        <v>51</v>
      </c>
      <c r="B52">
        <v>2</v>
      </c>
      <c r="C52">
        <v>1750892771.80931</v>
      </c>
      <c r="D52">
        <v>1750892842.01105</v>
      </c>
      <c r="E52">
        <v>70.201744622125503</v>
      </c>
      <c r="F52">
        <v>1750892406</v>
      </c>
      <c r="G52">
        <v>1750892473</v>
      </c>
      <c r="H52">
        <v>66.634</v>
      </c>
      <c r="I52">
        <v>3.5677446221255802</v>
      </c>
      <c r="J52">
        <v>3.5677446221255802</v>
      </c>
      <c r="K52">
        <v>5.2146383709577897</v>
      </c>
      <c r="L52">
        <v>369.011057376861</v>
      </c>
      <c r="M52">
        <v>369.011057376861</v>
      </c>
      <c r="N52" s="2">
        <v>2.1075595685151E-5</v>
      </c>
      <c r="O52" s="3">
        <v>45833.96263667824</v>
      </c>
      <c r="P52" s="3">
        <v>45833.963449201387</v>
      </c>
      <c r="Q52" s="1" t="s">
        <v>70</v>
      </c>
      <c r="R52" s="1" t="s">
        <v>75</v>
      </c>
      <c r="T52">
        <f t="shared" si="0"/>
        <v>-3.5677446221255025</v>
      </c>
    </row>
    <row r="53" spans="1:20" x14ac:dyDescent="0.3">
      <c r="A53">
        <v>52</v>
      </c>
      <c r="B53">
        <v>1</v>
      </c>
      <c r="C53">
        <v>1750892789.32548</v>
      </c>
      <c r="D53">
        <v>1750892860.5538499</v>
      </c>
      <c r="E53">
        <v>71.228372440767799</v>
      </c>
      <c r="F53">
        <v>1750892454</v>
      </c>
      <c r="G53">
        <v>1750892516</v>
      </c>
      <c r="H53">
        <v>62.414999999999999</v>
      </c>
      <c r="I53">
        <v>8.8133724407678002</v>
      </c>
      <c r="J53">
        <v>8.8133724407678002</v>
      </c>
      <c r="K53">
        <v>13.1893894621283</v>
      </c>
      <c r="L53">
        <v>344.55385494232098</v>
      </c>
      <c r="M53">
        <v>344.55385494232098</v>
      </c>
      <c r="N53" s="2">
        <v>1.9678753429566302E-5</v>
      </c>
      <c r="O53" s="3">
        <v>45833.962839409724</v>
      </c>
      <c r="P53" s="3">
        <v>45833.963663819442</v>
      </c>
      <c r="Q53" s="1" t="s">
        <v>71</v>
      </c>
      <c r="R53" s="1" t="s">
        <v>76</v>
      </c>
      <c r="T53">
        <f t="shared" si="0"/>
        <v>-8.8133724407678002</v>
      </c>
    </row>
    <row r="54" spans="1:20" x14ac:dyDescent="0.3">
      <c r="A54">
        <v>53</v>
      </c>
      <c r="B54">
        <v>3</v>
      </c>
      <c r="C54">
        <v>1750892803.97173</v>
      </c>
      <c r="D54">
        <v>1750892871.3350899</v>
      </c>
      <c r="E54">
        <v>67.363357405226395</v>
      </c>
      <c r="F54">
        <v>1750892458</v>
      </c>
      <c r="G54">
        <v>1750892524</v>
      </c>
      <c r="H54">
        <v>66.524000000000001</v>
      </c>
      <c r="I54">
        <v>0.83935740522639402</v>
      </c>
      <c r="J54">
        <v>0.83935740522639402</v>
      </c>
      <c r="K54">
        <v>1.2538262334747201</v>
      </c>
      <c r="L54">
        <v>347.33509612083401</v>
      </c>
      <c r="M54">
        <v>347.33509612083401</v>
      </c>
      <c r="N54" s="2">
        <v>1.9837600361434801E-5</v>
      </c>
      <c r="O54" s="3">
        <v>45833.963008935185</v>
      </c>
      <c r="P54" s="3">
        <v>45833.96378859954</v>
      </c>
      <c r="Q54" s="1" t="s">
        <v>72</v>
      </c>
      <c r="R54" s="1" t="s">
        <v>77</v>
      </c>
      <c r="T54">
        <f t="shared" si="0"/>
        <v>-0.83935740522639435</v>
      </c>
    </row>
    <row r="55" spans="1:20" x14ac:dyDescent="0.3">
      <c r="A55">
        <v>54</v>
      </c>
      <c r="B55">
        <v>2</v>
      </c>
      <c r="C55">
        <v>1750892842.01105</v>
      </c>
      <c r="D55">
        <v>1750892909.7678101</v>
      </c>
      <c r="E55">
        <v>67.756753553530501</v>
      </c>
      <c r="F55">
        <v>1750892466</v>
      </c>
      <c r="G55">
        <v>1750892535</v>
      </c>
      <c r="H55">
        <v>68.950999999999993</v>
      </c>
      <c r="I55">
        <v>-1.19424644646946</v>
      </c>
      <c r="J55">
        <v>1.19424644646946</v>
      </c>
      <c r="K55">
        <v>1.74715247003431</v>
      </c>
      <c r="L55">
        <v>374.76781082153298</v>
      </c>
      <c r="M55">
        <v>374.76781082153298</v>
      </c>
      <c r="N55" s="2">
        <v>2.1404384519416599E-5</v>
      </c>
      <c r="O55" s="3">
        <v>45833.963449201387</v>
      </c>
      <c r="P55" s="3">
        <v>45833.964233425926</v>
      </c>
      <c r="Q55" s="1" t="s">
        <v>74</v>
      </c>
      <c r="R55" s="1" t="s">
        <v>78</v>
      </c>
      <c r="T55">
        <f t="shared" si="0"/>
        <v>1.1942464464694922</v>
      </c>
    </row>
    <row r="56" spans="1:20" x14ac:dyDescent="0.3">
      <c r="A56">
        <v>55</v>
      </c>
      <c r="B56">
        <v>1</v>
      </c>
      <c r="C56">
        <v>1750892860.5538499</v>
      </c>
      <c r="D56">
        <v>1750892940.12412</v>
      </c>
      <c r="E56">
        <v>79.570270030405197</v>
      </c>
      <c r="F56">
        <v>1750892473</v>
      </c>
      <c r="G56">
        <v>1750892539</v>
      </c>
      <c r="H56">
        <v>65.637</v>
      </c>
      <c r="I56">
        <v>13.9332700304052</v>
      </c>
      <c r="J56">
        <v>13.9332700304052</v>
      </c>
      <c r="K56">
        <v>19.190871128543002</v>
      </c>
      <c r="L56">
        <v>401.12412500381402</v>
      </c>
      <c r="M56">
        <v>401.12412500381402</v>
      </c>
      <c r="N56" s="2">
        <v>2.29096914928178E-5</v>
      </c>
      <c r="O56" s="3">
        <v>45833.963663819442</v>
      </c>
      <c r="P56" s="3">
        <v>45833.964584768517</v>
      </c>
      <c r="Q56" s="1" t="s">
        <v>75</v>
      </c>
      <c r="R56" s="1" t="s">
        <v>79</v>
      </c>
      <c r="T56">
        <f t="shared" si="0"/>
        <v>-13.933270030405197</v>
      </c>
    </row>
    <row r="57" spans="1:20" x14ac:dyDescent="0.3">
      <c r="A57">
        <v>56</v>
      </c>
      <c r="B57">
        <v>3</v>
      </c>
      <c r="C57">
        <v>1750892871.3350899</v>
      </c>
      <c r="D57">
        <v>1750892944.15676</v>
      </c>
      <c r="E57">
        <v>72.821664630487803</v>
      </c>
      <c r="F57">
        <v>1750892516</v>
      </c>
      <c r="G57">
        <v>1750892584</v>
      </c>
      <c r="H57">
        <v>67.534000000000006</v>
      </c>
      <c r="I57">
        <v>5.2876646304878596</v>
      </c>
      <c r="J57">
        <v>5.2876646304878596</v>
      </c>
      <c r="K57">
        <v>7.5346650873103203</v>
      </c>
      <c r="L57">
        <v>360.15676069259598</v>
      </c>
      <c r="M57">
        <v>360.15676069259598</v>
      </c>
      <c r="N57" s="2">
        <v>2.0569892576040899E-5</v>
      </c>
      <c r="O57" s="3">
        <v>45833.96378859954</v>
      </c>
      <c r="P57" s="3">
        <v>45833.964631446761</v>
      </c>
      <c r="Q57" s="1" t="s">
        <v>76</v>
      </c>
      <c r="R57" s="1" t="s">
        <v>80</v>
      </c>
      <c r="T57">
        <f t="shared" si="0"/>
        <v>-5.2876646304877966</v>
      </c>
    </row>
    <row r="58" spans="1:20" x14ac:dyDescent="0.3">
      <c r="A58">
        <v>57</v>
      </c>
      <c r="B58">
        <v>2</v>
      </c>
      <c r="C58">
        <v>1750892909.7678101</v>
      </c>
      <c r="D58">
        <v>1750892979.1719799</v>
      </c>
      <c r="E58">
        <v>69.404178851043895</v>
      </c>
      <c r="F58">
        <v>1750892524</v>
      </c>
      <c r="G58">
        <v>1750892588</v>
      </c>
      <c r="H58">
        <v>64.156999999999996</v>
      </c>
      <c r="I58">
        <v>5.2471788510439499</v>
      </c>
      <c r="J58">
        <v>5.2471788510439499</v>
      </c>
      <c r="K58">
        <v>7.8573413265480996</v>
      </c>
      <c r="L58">
        <v>391.17198967933598</v>
      </c>
      <c r="M58">
        <v>391.17198967933598</v>
      </c>
      <c r="N58" s="2">
        <v>2.2341287447548801E-5</v>
      </c>
      <c r="O58" s="3">
        <v>45833.964233425926</v>
      </c>
      <c r="P58" s="3">
        <v>45833.965036712965</v>
      </c>
      <c r="Q58" s="1" t="s">
        <v>77</v>
      </c>
      <c r="R58" s="1" t="s">
        <v>81</v>
      </c>
      <c r="T58">
        <f t="shared" si="0"/>
        <v>-5.2471788510438984</v>
      </c>
    </row>
    <row r="59" spans="1:20" x14ac:dyDescent="0.3">
      <c r="A59">
        <v>58</v>
      </c>
      <c r="B59">
        <v>1</v>
      </c>
      <c r="C59">
        <v>1750892940.12412</v>
      </c>
      <c r="D59">
        <v>1750893018.53139</v>
      </c>
      <c r="E59">
        <v>78.407272654741504</v>
      </c>
      <c r="F59">
        <v>1750892535</v>
      </c>
      <c r="G59">
        <v>1750892602</v>
      </c>
      <c r="H59">
        <v>67.204999999999998</v>
      </c>
      <c r="I59">
        <v>11.202272654741501</v>
      </c>
      <c r="J59">
        <v>11.202272654741501</v>
      </c>
      <c r="K59">
        <v>15.3864402368103</v>
      </c>
      <c r="L59">
        <v>416.53139758110001</v>
      </c>
      <c r="M59">
        <v>416.53139758110001</v>
      </c>
      <c r="N59" s="2">
        <v>2.3789657204537301E-5</v>
      </c>
      <c r="O59" s="3">
        <v>45833.964584768517</v>
      </c>
      <c r="P59" s="3">
        <v>45833.965492256946</v>
      </c>
      <c r="Q59" s="1" t="s">
        <v>78</v>
      </c>
      <c r="R59" s="1" t="s">
        <v>82</v>
      </c>
      <c r="T59">
        <f t="shared" si="0"/>
        <v>-11.202272654741506</v>
      </c>
    </row>
    <row r="60" spans="1:20" x14ac:dyDescent="0.3">
      <c r="A60">
        <v>59</v>
      </c>
      <c r="B60">
        <v>3</v>
      </c>
      <c r="C60">
        <v>1750892944.15676</v>
      </c>
      <c r="D60">
        <v>1750893031.5367401</v>
      </c>
      <c r="E60">
        <v>87.379987532171</v>
      </c>
      <c r="F60">
        <v>1750892539</v>
      </c>
      <c r="G60">
        <v>1750892603</v>
      </c>
      <c r="H60">
        <v>64.59</v>
      </c>
      <c r="I60">
        <v>22.789987532170901</v>
      </c>
      <c r="J60">
        <v>22.789987532170901</v>
      </c>
      <c r="K60">
        <v>29.992747781658501</v>
      </c>
      <c r="L60">
        <v>428.53674817085198</v>
      </c>
      <c r="M60">
        <v>428.53674817085198</v>
      </c>
      <c r="N60" s="2">
        <v>2.4475327326970601E-5</v>
      </c>
      <c r="O60" s="3">
        <v>45833.964631446761</v>
      </c>
      <c r="P60" s="3">
        <v>45833.96564278935</v>
      </c>
      <c r="Q60" s="1" t="s">
        <v>79</v>
      </c>
      <c r="R60" s="1" t="s">
        <v>83</v>
      </c>
      <c r="T60">
        <f t="shared" si="0"/>
        <v>-22.789987532170997</v>
      </c>
    </row>
    <row r="61" spans="1:20" x14ac:dyDescent="0.3">
      <c r="A61">
        <v>60</v>
      </c>
      <c r="B61">
        <v>2</v>
      </c>
      <c r="C61">
        <v>1750892979.1719799</v>
      </c>
      <c r="D61">
        <v>1750893049.20682</v>
      </c>
      <c r="E61">
        <v>70.034839843651</v>
      </c>
      <c r="F61">
        <v>1750892583</v>
      </c>
      <c r="G61">
        <v>1750892649</v>
      </c>
      <c r="H61">
        <v>65.114999999999995</v>
      </c>
      <c r="I61">
        <v>4.9198398436510304</v>
      </c>
      <c r="J61">
        <v>4.9198398436510304</v>
      </c>
      <c r="K61">
        <v>7.2805707344419801</v>
      </c>
      <c r="L61">
        <v>400.20682954788202</v>
      </c>
      <c r="M61">
        <v>400.20682954788202</v>
      </c>
      <c r="N61" s="2">
        <v>2.2857299905749E-5</v>
      </c>
      <c r="O61" s="3">
        <v>45833.965036712965</v>
      </c>
      <c r="P61" s="3">
        <v>45833.96584730324</v>
      </c>
      <c r="Q61" s="1" t="s">
        <v>84</v>
      </c>
      <c r="R61" s="1" t="s">
        <v>85</v>
      </c>
      <c r="T61">
        <f t="shared" si="0"/>
        <v>-4.9198398436510047</v>
      </c>
    </row>
    <row r="62" spans="1:20" x14ac:dyDescent="0.3">
      <c r="A62">
        <v>61</v>
      </c>
      <c r="B62">
        <v>1</v>
      </c>
      <c r="C62">
        <v>1750893018.53139</v>
      </c>
      <c r="D62">
        <v>1750893089.7962201</v>
      </c>
      <c r="E62">
        <v>71.264826349327095</v>
      </c>
      <c r="F62">
        <v>1750892588</v>
      </c>
      <c r="G62">
        <v>1750892650</v>
      </c>
      <c r="H62">
        <v>62.631</v>
      </c>
      <c r="I62">
        <v>8.6338263493270997</v>
      </c>
      <c r="J62">
        <v>8.6338263493270997</v>
      </c>
      <c r="K62">
        <v>12.896333791319099</v>
      </c>
      <c r="L62">
        <v>439.79622387886002</v>
      </c>
      <c r="M62">
        <v>439.79622387886002</v>
      </c>
      <c r="N62" s="2">
        <v>2.5118397101271701E-5</v>
      </c>
      <c r="O62" s="3">
        <v>45833.965492256946</v>
      </c>
      <c r="P62" s="3">
        <v>45833.96631708333</v>
      </c>
      <c r="Q62" s="1" t="s">
        <v>81</v>
      </c>
      <c r="R62" s="1" t="s">
        <v>86</v>
      </c>
      <c r="T62">
        <f t="shared" si="0"/>
        <v>-8.6338263493270944</v>
      </c>
    </row>
    <row r="63" spans="1:20" x14ac:dyDescent="0.3">
      <c r="A63">
        <v>62</v>
      </c>
      <c r="B63">
        <v>3</v>
      </c>
      <c r="C63">
        <v>1750893031.5367401</v>
      </c>
      <c r="D63">
        <v>1750893101.7436099</v>
      </c>
      <c r="E63">
        <v>70.206864426516901</v>
      </c>
      <c r="F63">
        <v>1750892602</v>
      </c>
      <c r="G63">
        <v>1750892665</v>
      </c>
      <c r="H63">
        <v>62.78</v>
      </c>
      <c r="I63">
        <v>7.4268644265169801</v>
      </c>
      <c r="J63">
        <v>7.4268644265169801</v>
      </c>
      <c r="K63">
        <v>11.1693203062483</v>
      </c>
      <c r="L63">
        <v>436.74361252784701</v>
      </c>
      <c r="M63">
        <v>436.74361252784701</v>
      </c>
      <c r="N63" s="2">
        <v>2.4944050928277299E-5</v>
      </c>
      <c r="O63" s="3">
        <v>45833.96564278935</v>
      </c>
      <c r="P63" s="3">
        <v>45833.96645537037</v>
      </c>
      <c r="Q63" s="1" t="s">
        <v>82</v>
      </c>
      <c r="R63" s="1" t="s">
        <v>87</v>
      </c>
      <c r="T63">
        <f t="shared" si="0"/>
        <v>-7.4268644265169002</v>
      </c>
    </row>
    <row r="64" spans="1:20" x14ac:dyDescent="0.3">
      <c r="A64">
        <v>63</v>
      </c>
      <c r="B64">
        <v>2</v>
      </c>
      <c r="C64">
        <v>1750893049.20682</v>
      </c>
      <c r="D64">
        <v>1750893122.26545</v>
      </c>
      <c r="E64">
        <v>73.058622498051704</v>
      </c>
      <c r="F64">
        <v>1750892603</v>
      </c>
      <c r="G64">
        <v>1750892672</v>
      </c>
      <c r="H64">
        <v>69.171999999999997</v>
      </c>
      <c r="I64">
        <v>3.8866224980516999</v>
      </c>
      <c r="J64">
        <v>3.8866224980516999</v>
      </c>
      <c r="K64">
        <v>5.4652400865431696</v>
      </c>
      <c r="L64">
        <v>450.26545214652998</v>
      </c>
      <c r="M64">
        <v>450.26545214652998</v>
      </c>
      <c r="N64" s="2">
        <v>2.5716333242535101E-5</v>
      </c>
      <c r="O64" s="3">
        <v>45833.96584730324</v>
      </c>
      <c r="P64" s="3">
        <v>45833.966692881942</v>
      </c>
      <c r="Q64" s="1" t="s">
        <v>83</v>
      </c>
      <c r="R64" s="1" t="s">
        <v>88</v>
      </c>
      <c r="T64">
        <f t="shared" si="0"/>
        <v>-3.8866224980517075</v>
      </c>
    </row>
    <row r="65" spans="1:20" x14ac:dyDescent="0.3">
      <c r="A65">
        <v>64</v>
      </c>
      <c r="B65">
        <v>1</v>
      </c>
      <c r="C65">
        <v>1750893089.7962201</v>
      </c>
      <c r="D65">
        <v>1750893157.00772</v>
      </c>
      <c r="E65">
        <v>67.211499296269295</v>
      </c>
      <c r="F65">
        <v>1750892649</v>
      </c>
      <c r="G65">
        <v>1750892717</v>
      </c>
      <c r="H65">
        <v>68.126000000000005</v>
      </c>
      <c r="I65">
        <v>-0.91450070373063796</v>
      </c>
      <c r="J65">
        <v>0.91450070373063796</v>
      </c>
      <c r="K65">
        <v>1.3514372712453999</v>
      </c>
      <c r="L65">
        <v>440.00772309303198</v>
      </c>
      <c r="M65">
        <v>440.00772309303198</v>
      </c>
      <c r="N65" s="2">
        <v>2.5130475644386099E-5</v>
      </c>
      <c r="O65" s="3">
        <v>45833.96631708333</v>
      </c>
      <c r="P65" s="3">
        <v>45833.967095</v>
      </c>
      <c r="Q65" s="1" t="s">
        <v>85</v>
      </c>
      <c r="R65" s="1" t="s">
        <v>89</v>
      </c>
      <c r="T65">
        <f t="shared" si="0"/>
        <v>0.91450070373070957</v>
      </c>
    </row>
    <row r="66" spans="1:20" x14ac:dyDescent="0.3">
      <c r="A66">
        <v>65</v>
      </c>
      <c r="B66">
        <v>3</v>
      </c>
      <c r="C66">
        <v>1750893101.7436099</v>
      </c>
      <c r="D66">
        <v>1750893178.5835299</v>
      </c>
      <c r="E66">
        <v>76.839919201677802</v>
      </c>
      <c r="F66">
        <v>1750892650</v>
      </c>
      <c r="G66">
        <v>1750892713</v>
      </c>
      <c r="H66">
        <v>62.965000000000003</v>
      </c>
      <c r="I66">
        <v>13.8749192016778</v>
      </c>
      <c r="J66">
        <v>13.8749192016778</v>
      </c>
      <c r="K66">
        <v>19.8489713822764</v>
      </c>
      <c r="L66">
        <v>465.583531618118</v>
      </c>
      <c r="M66">
        <v>465.583531618118</v>
      </c>
      <c r="N66" s="2">
        <v>2.6591204947003599E-5</v>
      </c>
      <c r="O66" s="3">
        <v>45833.96645537037</v>
      </c>
      <c r="P66" s="3">
        <v>45833.967344722223</v>
      </c>
      <c r="Q66" s="1" t="s">
        <v>86</v>
      </c>
      <c r="R66" s="1" t="s">
        <v>90</v>
      </c>
      <c r="T66">
        <f t="shared" si="0"/>
        <v>-13.874919201677798</v>
      </c>
    </row>
    <row r="67" spans="1:20" x14ac:dyDescent="0.3">
      <c r="A67">
        <v>66</v>
      </c>
      <c r="B67">
        <v>2</v>
      </c>
      <c r="C67">
        <v>1750893122.26545</v>
      </c>
      <c r="D67">
        <v>1750893192.6353199</v>
      </c>
      <c r="E67">
        <v>70.369867863993605</v>
      </c>
      <c r="F67">
        <v>1750892665</v>
      </c>
      <c r="G67">
        <v>1750892730</v>
      </c>
      <c r="H67">
        <v>65.364999999999995</v>
      </c>
      <c r="I67">
        <v>5.0048678639936499</v>
      </c>
      <c r="J67">
        <v>5.0048678639936499</v>
      </c>
      <c r="K67">
        <v>7.3744763490078702</v>
      </c>
      <c r="L67">
        <v>462.63531994819601</v>
      </c>
      <c r="M67">
        <v>462.63531994819601</v>
      </c>
      <c r="N67" s="2">
        <v>2.6422821392807099E-5</v>
      </c>
      <c r="O67" s="3">
        <v>45833.966692881942</v>
      </c>
      <c r="P67" s="3">
        <v>45833.967507349538</v>
      </c>
      <c r="Q67" s="1" t="s">
        <v>87</v>
      </c>
      <c r="R67" s="1" t="s">
        <v>91</v>
      </c>
      <c r="T67">
        <f t="shared" ref="T67:T130" si="1">H67-E67</f>
        <v>-5.0048678639936099</v>
      </c>
    </row>
    <row r="68" spans="1:20" x14ac:dyDescent="0.3">
      <c r="A68">
        <v>67</v>
      </c>
      <c r="B68">
        <v>1</v>
      </c>
      <c r="C68">
        <v>1750893157.00772</v>
      </c>
      <c r="D68">
        <v>1750893232.7974999</v>
      </c>
      <c r="E68">
        <v>75.789778337637301</v>
      </c>
      <c r="F68">
        <v>1750892672</v>
      </c>
      <c r="G68">
        <v>1750892737</v>
      </c>
      <c r="H68">
        <v>64.98</v>
      </c>
      <c r="I68">
        <v>10.8097783376372</v>
      </c>
      <c r="J68">
        <v>10.8097783376372</v>
      </c>
      <c r="K68">
        <v>15.3580952748394</v>
      </c>
      <c r="L68">
        <v>495.79750132560702</v>
      </c>
      <c r="M68">
        <v>495.79750132560702</v>
      </c>
      <c r="N68" s="2">
        <v>2.8316836357321799E-5</v>
      </c>
      <c r="O68" s="3">
        <v>45833.967095</v>
      </c>
      <c r="P68" s="3">
        <v>45833.967972199076</v>
      </c>
      <c r="Q68" s="1" t="s">
        <v>88</v>
      </c>
      <c r="R68" s="1" t="s">
        <v>92</v>
      </c>
      <c r="T68">
        <f t="shared" si="1"/>
        <v>-10.809778337637297</v>
      </c>
    </row>
    <row r="69" spans="1:20" x14ac:dyDescent="0.3">
      <c r="A69">
        <v>68</v>
      </c>
      <c r="B69">
        <v>3</v>
      </c>
      <c r="C69">
        <v>1750893178.5835299</v>
      </c>
      <c r="D69">
        <v>1750893252.22487</v>
      </c>
      <c r="E69">
        <v>73.641342119625193</v>
      </c>
      <c r="F69">
        <v>1750892713</v>
      </c>
      <c r="G69">
        <v>1750892771</v>
      </c>
      <c r="H69">
        <v>58.305999999999997</v>
      </c>
      <c r="I69">
        <v>15.335342119625199</v>
      </c>
      <c r="J69">
        <v>15.335342119625199</v>
      </c>
      <c r="K69">
        <v>23.2446396771251</v>
      </c>
      <c r="L69">
        <v>481.224873781204</v>
      </c>
      <c r="M69">
        <v>481.224873781204</v>
      </c>
      <c r="N69" s="2">
        <v>2.74845390660411E-5</v>
      </c>
      <c r="O69" s="3">
        <v>45833.967344722223</v>
      </c>
      <c r="P69" s="3">
        <v>45833.968197048613</v>
      </c>
      <c r="Q69" s="1" t="s">
        <v>90</v>
      </c>
      <c r="R69" s="1" t="s">
        <v>93</v>
      </c>
      <c r="T69">
        <f t="shared" si="1"/>
        <v>-15.335342119625196</v>
      </c>
    </row>
    <row r="70" spans="1:20" x14ac:dyDescent="0.3">
      <c r="A70">
        <v>69</v>
      </c>
      <c r="B70">
        <v>2</v>
      </c>
      <c r="C70">
        <v>1750893192.6353199</v>
      </c>
      <c r="D70">
        <v>1750893285.2246399</v>
      </c>
      <c r="E70">
        <v>92.589322585345101</v>
      </c>
      <c r="F70">
        <v>1750892717</v>
      </c>
      <c r="G70">
        <v>1750892787</v>
      </c>
      <c r="H70">
        <v>69.796999999999997</v>
      </c>
      <c r="I70">
        <v>22.792322585345101</v>
      </c>
      <c r="J70">
        <v>22.792322585345101</v>
      </c>
      <c r="K70">
        <v>28.071727005661099</v>
      </c>
      <c r="L70">
        <v>498.22464251518198</v>
      </c>
      <c r="M70">
        <v>498.22464251518198</v>
      </c>
      <c r="N70" s="2">
        <v>2.8455458571097999E-5</v>
      </c>
      <c r="O70" s="3">
        <v>45833.967507349538</v>
      </c>
      <c r="P70" s="3">
        <v>45833.968578993059</v>
      </c>
      <c r="Q70" s="1" t="s">
        <v>89</v>
      </c>
      <c r="R70" s="1" t="s">
        <v>94</v>
      </c>
      <c r="T70">
        <f t="shared" si="1"/>
        <v>-22.792322585345104</v>
      </c>
    </row>
    <row r="71" spans="1:20" x14ac:dyDescent="0.3">
      <c r="A71">
        <v>70</v>
      </c>
      <c r="B71">
        <v>1</v>
      </c>
      <c r="C71">
        <v>1750893232.7974999</v>
      </c>
      <c r="D71">
        <v>1750893302.41872</v>
      </c>
      <c r="E71">
        <v>69.621225474590702</v>
      </c>
      <c r="F71">
        <v>1750892730</v>
      </c>
      <c r="G71">
        <v>1750892797</v>
      </c>
      <c r="H71">
        <v>67.332999999999998</v>
      </c>
      <c r="I71">
        <v>2.2882254745907802</v>
      </c>
      <c r="J71">
        <v>2.2882254745907802</v>
      </c>
      <c r="K71">
        <v>3.3415916400700199</v>
      </c>
      <c r="L71">
        <v>505.418726682662</v>
      </c>
      <c r="M71">
        <v>505.418726682662</v>
      </c>
      <c r="N71" s="2">
        <v>2.8866339195678399E-5</v>
      </c>
      <c r="O71" s="3">
        <v>45833.967972199076</v>
      </c>
      <c r="P71" s="3">
        <v>45833.968777997688</v>
      </c>
      <c r="Q71" s="1" t="s">
        <v>91</v>
      </c>
      <c r="R71" s="1" t="s">
        <v>95</v>
      </c>
      <c r="T71">
        <f t="shared" si="1"/>
        <v>-2.2882254745907034</v>
      </c>
    </row>
    <row r="72" spans="1:20" x14ac:dyDescent="0.3">
      <c r="A72">
        <v>71</v>
      </c>
      <c r="B72">
        <v>3</v>
      </c>
      <c r="C72">
        <v>1750893252.22487</v>
      </c>
      <c r="D72">
        <v>1750893320.05863</v>
      </c>
      <c r="E72">
        <v>67.833760372944298</v>
      </c>
      <c r="F72">
        <v>1750892737</v>
      </c>
      <c r="G72">
        <v>1750892806</v>
      </c>
      <c r="H72">
        <v>69.599000000000004</v>
      </c>
      <c r="I72">
        <v>-1.76523962705569</v>
      </c>
      <c r="J72">
        <v>1.76523962705569</v>
      </c>
      <c r="K72">
        <v>2.5688774965524201</v>
      </c>
      <c r="L72">
        <v>514.05863404273896</v>
      </c>
      <c r="M72">
        <v>514.05863404273896</v>
      </c>
      <c r="N72" s="2">
        <v>2.9359796146164299E-5</v>
      </c>
      <c r="O72" s="3">
        <v>45833.968197048613</v>
      </c>
      <c r="P72" s="3">
        <v>45833.968982164355</v>
      </c>
      <c r="Q72" s="1" t="s">
        <v>92</v>
      </c>
      <c r="R72" s="1" t="s">
        <v>96</v>
      </c>
      <c r="T72">
        <f t="shared" si="1"/>
        <v>1.7652396270557063</v>
      </c>
    </row>
    <row r="73" spans="1:20" x14ac:dyDescent="0.3">
      <c r="A73">
        <v>72</v>
      </c>
      <c r="B73">
        <v>2</v>
      </c>
      <c r="C73">
        <v>1750893285.2246399</v>
      </c>
      <c r="D73">
        <v>1750893355.32775</v>
      </c>
      <c r="E73">
        <v>70.103110298294695</v>
      </c>
      <c r="F73">
        <v>1750892771</v>
      </c>
      <c r="G73">
        <v>1750892836</v>
      </c>
      <c r="H73">
        <v>64.498000000000005</v>
      </c>
      <c r="I73">
        <v>5.6051102982947301</v>
      </c>
      <c r="J73">
        <v>5.6051102982947301</v>
      </c>
      <c r="K73">
        <v>8.3284755762757499</v>
      </c>
      <c r="L73">
        <v>519.32775282859802</v>
      </c>
      <c r="M73">
        <v>519.32775282859802</v>
      </c>
      <c r="N73" s="2">
        <v>2.96607345196987E-5</v>
      </c>
      <c r="O73" s="3">
        <v>45833.968578993059</v>
      </c>
      <c r="P73" s="3">
        <v>45833.969390370374</v>
      </c>
      <c r="Q73" s="1" t="s">
        <v>93</v>
      </c>
      <c r="R73" s="1" t="s">
        <v>97</v>
      </c>
      <c r="T73">
        <f t="shared" si="1"/>
        <v>-5.6051102982946901</v>
      </c>
    </row>
    <row r="74" spans="1:20" x14ac:dyDescent="0.3">
      <c r="A74">
        <v>73</v>
      </c>
      <c r="B74">
        <v>1</v>
      </c>
      <c r="C74">
        <v>1750893302.41872</v>
      </c>
      <c r="D74">
        <v>1750893378.8442099</v>
      </c>
      <c r="E74">
        <v>76.425491081579196</v>
      </c>
      <c r="F74">
        <v>1750892787</v>
      </c>
      <c r="G74">
        <v>1750892843</v>
      </c>
      <c r="H74">
        <v>56.030999999999999</v>
      </c>
      <c r="I74">
        <v>20.394491081579201</v>
      </c>
      <c r="J74">
        <v>20.394491081579201</v>
      </c>
      <c r="K74">
        <v>30.794249364522798</v>
      </c>
      <c r="L74">
        <v>535.84421777725197</v>
      </c>
      <c r="M74">
        <v>535.84421777725197</v>
      </c>
      <c r="N74" s="2">
        <v>3.0604050837520798E-5</v>
      </c>
      <c r="O74" s="3">
        <v>45833.968777997688</v>
      </c>
      <c r="P74" s="3">
        <v>45833.969662546297</v>
      </c>
      <c r="Q74" s="1" t="s">
        <v>94</v>
      </c>
      <c r="R74" s="1" t="s">
        <v>98</v>
      </c>
      <c r="T74">
        <f t="shared" si="1"/>
        <v>-20.394491081579197</v>
      </c>
    </row>
    <row r="75" spans="1:20" x14ac:dyDescent="0.3">
      <c r="A75">
        <v>74</v>
      </c>
      <c r="B75">
        <v>3</v>
      </c>
      <c r="C75">
        <v>1750893320.05863</v>
      </c>
      <c r="D75">
        <v>1750893390.7413199</v>
      </c>
      <c r="E75">
        <v>70.682691606053098</v>
      </c>
      <c r="F75">
        <v>1750892797</v>
      </c>
      <c r="G75">
        <v>1750892867</v>
      </c>
      <c r="H75">
        <v>70.007999999999996</v>
      </c>
      <c r="I75">
        <v>0.67469160605311596</v>
      </c>
      <c r="J75">
        <v>0.67469160605311596</v>
      </c>
      <c r="K75">
        <v>0.95911335476594906</v>
      </c>
      <c r="L75">
        <v>523.74132561683598</v>
      </c>
      <c r="M75">
        <v>523.74132561683598</v>
      </c>
      <c r="N75" s="2">
        <v>2.9912809467397501E-5</v>
      </c>
      <c r="O75" s="3">
        <v>45833.968982164355</v>
      </c>
      <c r="P75" s="3">
        <v>45833.969800243052</v>
      </c>
      <c r="Q75" s="1" t="s">
        <v>95</v>
      </c>
      <c r="R75" s="1" t="s">
        <v>99</v>
      </c>
      <c r="T75">
        <f t="shared" si="1"/>
        <v>-0.67469160605310208</v>
      </c>
    </row>
    <row r="76" spans="1:20" x14ac:dyDescent="0.3">
      <c r="A76">
        <v>75</v>
      </c>
      <c r="B76">
        <v>2</v>
      </c>
      <c r="C76">
        <v>1750893355.32775</v>
      </c>
      <c r="D76">
        <v>1750893427.04229</v>
      </c>
      <c r="E76">
        <v>71.714537712633302</v>
      </c>
      <c r="F76">
        <v>1750892806</v>
      </c>
      <c r="G76">
        <v>1750892870</v>
      </c>
      <c r="H76">
        <v>63.865000000000002</v>
      </c>
      <c r="I76">
        <v>7.8495377126332997</v>
      </c>
      <c r="J76">
        <v>7.8495377126332997</v>
      </c>
      <c r="K76">
        <v>11.5792365795946</v>
      </c>
      <c r="L76">
        <v>557.042290449142</v>
      </c>
      <c r="M76">
        <v>557.042290449142</v>
      </c>
      <c r="N76" s="2">
        <v>3.1814750712779698E-5</v>
      </c>
      <c r="O76" s="3">
        <v>45833.969390370374</v>
      </c>
      <c r="P76" s="3">
        <v>45833.970220393516</v>
      </c>
      <c r="Q76" s="1" t="s">
        <v>96</v>
      </c>
      <c r="R76" s="1" t="s">
        <v>100</v>
      </c>
      <c r="T76">
        <f t="shared" si="1"/>
        <v>-7.8495377126332997</v>
      </c>
    </row>
    <row r="77" spans="1:20" x14ac:dyDescent="0.3">
      <c r="A77">
        <v>76</v>
      </c>
      <c r="B77">
        <v>1</v>
      </c>
      <c r="C77">
        <v>1750893378.8442099</v>
      </c>
      <c r="D77">
        <v>1750893456.7878599</v>
      </c>
      <c r="E77">
        <v>77.943651306169599</v>
      </c>
      <c r="F77">
        <v>1750892836</v>
      </c>
      <c r="G77">
        <v>1750892897</v>
      </c>
      <c r="H77">
        <v>60.67</v>
      </c>
      <c r="I77">
        <v>17.273651306169601</v>
      </c>
      <c r="J77">
        <v>17.273651306169601</v>
      </c>
      <c r="K77">
        <v>24.9234489437344</v>
      </c>
      <c r="L77">
        <v>559.78786897659302</v>
      </c>
      <c r="M77">
        <v>559.78786897659302</v>
      </c>
      <c r="N77" s="2">
        <v>3.1971560364959E-5</v>
      </c>
      <c r="O77" s="3">
        <v>45833.969662546297</v>
      </c>
      <c r="P77" s="3">
        <v>45833.970564675925</v>
      </c>
      <c r="Q77" s="1" t="s">
        <v>97</v>
      </c>
      <c r="R77" s="1" t="s">
        <v>101</v>
      </c>
      <c r="T77">
        <f t="shared" si="1"/>
        <v>-17.273651306169597</v>
      </c>
    </row>
    <row r="78" spans="1:20" x14ac:dyDescent="0.3">
      <c r="A78">
        <v>77</v>
      </c>
      <c r="B78">
        <v>3</v>
      </c>
      <c r="C78">
        <v>1750893390.7413199</v>
      </c>
      <c r="D78">
        <v>1750893459.86219</v>
      </c>
      <c r="E78">
        <v>69.120867008249803</v>
      </c>
      <c r="F78">
        <v>1750892843</v>
      </c>
      <c r="G78">
        <v>1750892908</v>
      </c>
      <c r="H78">
        <v>65.132000000000005</v>
      </c>
      <c r="I78">
        <v>3.9888670082498798</v>
      </c>
      <c r="J78">
        <v>3.9888670082498798</v>
      </c>
      <c r="K78">
        <v>5.9423192921530097</v>
      </c>
      <c r="L78">
        <v>551.86219263076703</v>
      </c>
      <c r="M78">
        <v>551.86219263076703</v>
      </c>
      <c r="N78" s="2">
        <v>3.1518895481203998E-5</v>
      </c>
      <c r="O78" s="3">
        <v>45833.969800243052</v>
      </c>
      <c r="P78" s="3">
        <v>45833.97060025463</v>
      </c>
      <c r="Q78" s="1" t="s">
        <v>98</v>
      </c>
      <c r="R78" s="1" t="s">
        <v>102</v>
      </c>
      <c r="T78">
        <f t="shared" si="1"/>
        <v>-3.9888670082497981</v>
      </c>
    </row>
    <row r="79" spans="1:20" x14ac:dyDescent="0.3">
      <c r="A79">
        <v>78</v>
      </c>
      <c r="B79">
        <v>2</v>
      </c>
      <c r="C79">
        <v>1750893427.04229</v>
      </c>
      <c r="D79">
        <v>1750893509.56756</v>
      </c>
      <c r="E79">
        <v>82.5252703476053</v>
      </c>
      <c r="F79">
        <v>1750892867</v>
      </c>
      <c r="G79">
        <v>1750892932</v>
      </c>
      <c r="H79">
        <v>65.082999999999998</v>
      </c>
      <c r="I79">
        <v>17.442270347605302</v>
      </c>
      <c r="J79">
        <v>17.442270347605302</v>
      </c>
      <c r="K79">
        <v>23.633188447409101</v>
      </c>
      <c r="L79">
        <v>577.56756091117802</v>
      </c>
      <c r="M79">
        <v>577.56756091117802</v>
      </c>
      <c r="N79" s="2">
        <v>3.29870236548538E-5</v>
      </c>
      <c r="O79" s="3">
        <v>45833.970220393516</v>
      </c>
      <c r="P79" s="3">
        <v>45833.971175555555</v>
      </c>
      <c r="Q79" s="1" t="s">
        <v>99</v>
      </c>
      <c r="R79" s="1" t="s">
        <v>103</v>
      </c>
      <c r="T79">
        <f t="shared" si="1"/>
        <v>-17.442270347605302</v>
      </c>
    </row>
    <row r="80" spans="1:20" x14ac:dyDescent="0.3">
      <c r="A80">
        <v>79</v>
      </c>
      <c r="B80">
        <v>1</v>
      </c>
      <c r="C80">
        <v>1750893456.7878599</v>
      </c>
      <c r="D80">
        <v>1750893534.1254799</v>
      </c>
      <c r="E80">
        <v>77.337613201801801</v>
      </c>
      <c r="F80">
        <v>1750892870</v>
      </c>
      <c r="G80">
        <v>1750892942</v>
      </c>
      <c r="H80">
        <v>72.048000000000002</v>
      </c>
      <c r="I80">
        <v>5.28961320180185</v>
      </c>
      <c r="J80">
        <v>5.28961320180185</v>
      </c>
      <c r="K80">
        <v>7.08182413075646</v>
      </c>
      <c r="L80">
        <v>592.12548208236694</v>
      </c>
      <c r="M80">
        <v>592.12548208236694</v>
      </c>
      <c r="N80" s="2">
        <v>3.3818480145455202E-5</v>
      </c>
      <c r="O80" s="3">
        <v>45833.970564675925</v>
      </c>
      <c r="P80" s="3">
        <v>45833.971459780092</v>
      </c>
      <c r="Q80" s="1" t="s">
        <v>100</v>
      </c>
      <c r="R80" s="1" t="s">
        <v>104</v>
      </c>
      <c r="T80">
        <f t="shared" si="1"/>
        <v>-5.2896132018017994</v>
      </c>
    </row>
    <row r="81" spans="1:20" x14ac:dyDescent="0.3">
      <c r="A81">
        <v>80</v>
      </c>
      <c r="B81">
        <v>3</v>
      </c>
      <c r="C81">
        <v>1750893459.86219</v>
      </c>
      <c r="D81">
        <v>1750893530.47997</v>
      </c>
      <c r="E81">
        <v>70.617783172116603</v>
      </c>
      <c r="F81">
        <v>1750892897</v>
      </c>
      <c r="G81">
        <v>1750892962</v>
      </c>
      <c r="H81">
        <v>65.174999999999997</v>
      </c>
      <c r="I81">
        <v>5.4427831721166298</v>
      </c>
      <c r="J81">
        <v>5.4427831721166298</v>
      </c>
      <c r="K81">
        <v>8.0163069715095698</v>
      </c>
      <c r="L81">
        <v>568.47997570037796</v>
      </c>
      <c r="M81">
        <v>568.47997570037796</v>
      </c>
      <c r="N81" s="2">
        <v>3.24679975161923E-5</v>
      </c>
      <c r="O81" s="3">
        <v>45833.97060025463</v>
      </c>
      <c r="P81" s="3">
        <v>45833.971417592591</v>
      </c>
      <c r="Q81" s="1" t="s">
        <v>101</v>
      </c>
      <c r="R81" s="1" t="s">
        <v>105</v>
      </c>
      <c r="T81">
        <f t="shared" si="1"/>
        <v>-5.4427831721166058</v>
      </c>
    </row>
    <row r="82" spans="1:20" x14ac:dyDescent="0.3">
      <c r="A82">
        <v>81</v>
      </c>
      <c r="B82">
        <v>2</v>
      </c>
      <c r="C82">
        <v>1750893509.56756</v>
      </c>
      <c r="D82">
        <v>1750893589.36549</v>
      </c>
      <c r="E82">
        <v>79.797935735190094</v>
      </c>
      <c r="F82">
        <v>1750892908</v>
      </c>
      <c r="G82">
        <v>1750892971</v>
      </c>
      <c r="H82">
        <v>63.451000000000001</v>
      </c>
      <c r="I82">
        <v>16.346935735190101</v>
      </c>
      <c r="J82">
        <v>16.346935735190101</v>
      </c>
      <c r="K82">
        <v>22.8231164878028</v>
      </c>
      <c r="L82">
        <v>618.36549663543701</v>
      </c>
      <c r="M82">
        <v>618.36549663543701</v>
      </c>
      <c r="N82" s="2">
        <v>3.5317143747955597E-5</v>
      </c>
      <c r="O82" s="3">
        <v>45833.971175555555</v>
      </c>
      <c r="P82" s="3">
        <v>45833.972099131941</v>
      </c>
      <c r="Q82" s="1" t="s">
        <v>102</v>
      </c>
      <c r="R82" s="1" t="s">
        <v>106</v>
      </c>
      <c r="T82">
        <f t="shared" si="1"/>
        <v>-16.346935735190094</v>
      </c>
    </row>
    <row r="83" spans="1:20" x14ac:dyDescent="0.3">
      <c r="A83">
        <v>82</v>
      </c>
      <c r="B83">
        <v>3</v>
      </c>
      <c r="C83">
        <v>1750893530.47997</v>
      </c>
      <c r="D83">
        <v>1750893610.6136601</v>
      </c>
      <c r="E83">
        <v>80.133687075864501</v>
      </c>
      <c r="F83">
        <v>1750892932</v>
      </c>
      <c r="G83">
        <v>1750892994</v>
      </c>
      <c r="H83">
        <v>62.567999999999998</v>
      </c>
      <c r="I83">
        <v>17.565687075864499</v>
      </c>
      <c r="J83">
        <v>17.565687075864499</v>
      </c>
      <c r="K83">
        <v>24.6187517972735</v>
      </c>
      <c r="L83">
        <v>616.61366271972599</v>
      </c>
      <c r="M83">
        <v>616.61366271972599</v>
      </c>
      <c r="N83" s="2">
        <v>3.5217089579777798E-5</v>
      </c>
      <c r="O83" s="3">
        <v>45833.971417592591</v>
      </c>
      <c r="P83" s="3">
        <v>45833.972345069444</v>
      </c>
      <c r="Q83" s="1" t="s">
        <v>103</v>
      </c>
      <c r="R83" s="1" t="s">
        <v>107</v>
      </c>
      <c r="T83">
        <f t="shared" si="1"/>
        <v>-17.565687075864503</v>
      </c>
    </row>
    <row r="84" spans="1:20" x14ac:dyDescent="0.3">
      <c r="A84">
        <v>83</v>
      </c>
      <c r="B84">
        <v>1</v>
      </c>
      <c r="C84">
        <v>1750893534.1254799</v>
      </c>
      <c r="D84">
        <v>1750893606.4851301</v>
      </c>
      <c r="E84">
        <v>72.359648124944897</v>
      </c>
      <c r="F84">
        <v>1750892942</v>
      </c>
      <c r="G84">
        <v>1750893009</v>
      </c>
      <c r="H84">
        <v>67.245999999999995</v>
      </c>
      <c r="I84">
        <v>5.1136481249449499</v>
      </c>
      <c r="J84">
        <v>5.1136481249449499</v>
      </c>
      <c r="K84">
        <v>7.32584704648671</v>
      </c>
      <c r="L84">
        <v>597.48513031005803</v>
      </c>
      <c r="M84">
        <v>597.48513031005803</v>
      </c>
      <c r="N84" s="2">
        <v>3.4124588155539802E-5</v>
      </c>
      <c r="O84" s="3">
        <v>45833.971459780092</v>
      </c>
      <c r="P84" s="3">
        <v>45833.972297280096</v>
      </c>
      <c r="Q84" s="1" t="s">
        <v>104</v>
      </c>
      <c r="R84" s="1" t="s">
        <v>108</v>
      </c>
      <c r="T84">
        <f t="shared" si="1"/>
        <v>-5.113648124944902</v>
      </c>
    </row>
    <row r="85" spans="1:20" x14ac:dyDescent="0.3">
      <c r="A85">
        <v>84</v>
      </c>
      <c r="B85">
        <v>2</v>
      </c>
      <c r="C85">
        <v>1750893589.36549</v>
      </c>
      <c r="D85">
        <v>1750893661.1898201</v>
      </c>
      <c r="E85">
        <v>71.824324167411604</v>
      </c>
      <c r="F85">
        <v>1750892962</v>
      </c>
      <c r="G85">
        <v>1750893027</v>
      </c>
      <c r="H85">
        <v>65.831000000000003</v>
      </c>
      <c r="I85">
        <v>5.9933241674115996</v>
      </c>
      <c r="J85">
        <v>5.9933241674115996</v>
      </c>
      <c r="K85">
        <v>8.7077259142155992</v>
      </c>
      <c r="L85">
        <v>634.18982076644897</v>
      </c>
      <c r="M85">
        <v>634.18982076644897</v>
      </c>
      <c r="N85" s="2">
        <v>3.6220928185336197E-5</v>
      </c>
      <c r="O85" s="3">
        <v>45833.972099131941</v>
      </c>
      <c r="P85" s="3">
        <v>45833.972930439813</v>
      </c>
      <c r="Q85" s="1" t="s">
        <v>105</v>
      </c>
      <c r="R85" s="1" t="s">
        <v>109</v>
      </c>
      <c r="T85">
        <f t="shared" si="1"/>
        <v>-5.9933241674116005</v>
      </c>
    </row>
    <row r="86" spans="1:20" x14ac:dyDescent="0.3">
      <c r="A86">
        <v>85</v>
      </c>
      <c r="B86">
        <v>1</v>
      </c>
      <c r="C86">
        <v>1750893606.4851301</v>
      </c>
      <c r="D86">
        <v>1750893680.93433</v>
      </c>
      <c r="E86">
        <v>74.449199581059304</v>
      </c>
      <c r="F86">
        <v>1750892971</v>
      </c>
      <c r="G86">
        <v>1750893036</v>
      </c>
      <c r="H86">
        <v>64.524000000000001</v>
      </c>
      <c r="I86">
        <v>9.9251995810593403</v>
      </c>
      <c r="J86">
        <v>9.9251995810593403</v>
      </c>
      <c r="K86">
        <v>14.283616713120599</v>
      </c>
      <c r="L86">
        <v>644.93432998657204</v>
      </c>
      <c r="M86">
        <v>644.93432998657204</v>
      </c>
      <c r="N86" s="2">
        <v>3.6834586576488303E-5</v>
      </c>
      <c r="O86" s="3">
        <v>45833.972297280096</v>
      </c>
      <c r="P86" s="3">
        <v>45833.973158958332</v>
      </c>
      <c r="Q86" s="1" t="s">
        <v>106</v>
      </c>
      <c r="R86" s="1" t="s">
        <v>110</v>
      </c>
      <c r="T86">
        <f t="shared" si="1"/>
        <v>-9.925199581059303</v>
      </c>
    </row>
    <row r="87" spans="1:20" x14ac:dyDescent="0.3">
      <c r="A87">
        <v>86</v>
      </c>
      <c r="B87">
        <v>3</v>
      </c>
      <c r="C87">
        <v>1750893610.6136601</v>
      </c>
      <c r="D87">
        <v>1750893678.1581399</v>
      </c>
      <c r="E87">
        <v>67.544485676197795</v>
      </c>
      <c r="F87">
        <v>1750892994</v>
      </c>
      <c r="G87">
        <v>1750893064</v>
      </c>
      <c r="H87">
        <v>69.525000000000006</v>
      </c>
      <c r="I87">
        <v>-1.9805143238021501</v>
      </c>
      <c r="J87">
        <v>1.9805143238021501</v>
      </c>
      <c r="K87">
        <v>2.8897960972594001</v>
      </c>
      <c r="L87">
        <v>614.15814828872601</v>
      </c>
      <c r="M87">
        <v>614.15814828872601</v>
      </c>
      <c r="N87" s="2">
        <v>3.50768446801658E-5</v>
      </c>
      <c r="O87" s="3">
        <v>45833.972345069444</v>
      </c>
      <c r="P87" s="3">
        <v>45833.973126828707</v>
      </c>
      <c r="Q87" s="1" t="s">
        <v>107</v>
      </c>
      <c r="R87" s="1" t="s">
        <v>111</v>
      </c>
      <c r="T87">
        <f t="shared" si="1"/>
        <v>1.9805143238022112</v>
      </c>
    </row>
    <row r="88" spans="1:20" x14ac:dyDescent="0.3">
      <c r="A88">
        <v>87</v>
      </c>
      <c r="B88">
        <v>2</v>
      </c>
      <c r="C88">
        <v>1750893661.1898201</v>
      </c>
      <c r="D88">
        <v>1750893728.54178</v>
      </c>
      <c r="E88">
        <v>67.351966391683504</v>
      </c>
      <c r="F88">
        <v>1750893009</v>
      </c>
      <c r="G88">
        <v>1750893075</v>
      </c>
      <c r="H88">
        <v>66.400000000000006</v>
      </c>
      <c r="I88">
        <v>0.95196639168351205</v>
      </c>
      <c r="J88">
        <v>0.95196639168351205</v>
      </c>
      <c r="K88">
        <v>1.42348021844515</v>
      </c>
      <c r="L88">
        <v>653.54178714752197</v>
      </c>
      <c r="M88">
        <v>653.54178714752197</v>
      </c>
      <c r="N88" s="2">
        <v>3.7326189389172098E-5</v>
      </c>
      <c r="O88" s="3">
        <v>45833.972930439813</v>
      </c>
      <c r="P88" s="3">
        <v>45833.973709976854</v>
      </c>
      <c r="Q88" s="1" t="s">
        <v>108</v>
      </c>
      <c r="R88" s="1" t="s">
        <v>112</v>
      </c>
      <c r="T88">
        <f t="shared" si="1"/>
        <v>-0.95196639168349861</v>
      </c>
    </row>
    <row r="89" spans="1:20" x14ac:dyDescent="0.3">
      <c r="A89">
        <v>88</v>
      </c>
      <c r="B89">
        <v>3</v>
      </c>
      <c r="C89">
        <v>1750893678.1581399</v>
      </c>
      <c r="D89">
        <v>1750893747.2699399</v>
      </c>
      <c r="E89">
        <v>69.111799687019101</v>
      </c>
      <c r="F89">
        <v>1750893027</v>
      </c>
      <c r="G89">
        <v>1750893094</v>
      </c>
      <c r="H89">
        <v>66.141999999999996</v>
      </c>
      <c r="I89">
        <v>2.9697996870191701</v>
      </c>
      <c r="J89">
        <v>2.9697996870191701</v>
      </c>
      <c r="K89">
        <v>4.3914473292304796</v>
      </c>
      <c r="L89">
        <v>653.26994800567604</v>
      </c>
      <c r="M89">
        <v>653.26994800567604</v>
      </c>
      <c r="N89" s="2">
        <v>3.7310663248066901E-5</v>
      </c>
      <c r="O89" s="3">
        <v>45833.973126828707</v>
      </c>
      <c r="P89" s="3">
        <v>45833.973926736115</v>
      </c>
      <c r="Q89" s="1" t="s">
        <v>109</v>
      </c>
      <c r="R89" s="1" t="s">
        <v>113</v>
      </c>
      <c r="T89">
        <f t="shared" si="1"/>
        <v>-2.9697996870191048</v>
      </c>
    </row>
    <row r="90" spans="1:20" x14ac:dyDescent="0.3">
      <c r="A90">
        <v>89</v>
      </c>
      <c r="B90">
        <v>1</v>
      </c>
      <c r="C90">
        <v>1750893680.93433</v>
      </c>
      <c r="D90">
        <v>1750893739.4906399</v>
      </c>
      <c r="E90">
        <v>58.556318668784797</v>
      </c>
      <c r="F90">
        <v>1750893036</v>
      </c>
      <c r="G90">
        <v>1750893086</v>
      </c>
      <c r="H90">
        <v>50.814999999999998</v>
      </c>
      <c r="I90">
        <v>7.7413186687848796</v>
      </c>
      <c r="J90">
        <v>7.7413186687848796</v>
      </c>
      <c r="K90">
        <v>14.1560305992622</v>
      </c>
      <c r="L90">
        <v>653.49064874649002</v>
      </c>
      <c r="M90">
        <v>653.49064874649002</v>
      </c>
      <c r="N90" s="2">
        <v>3.7323268451952503E-5</v>
      </c>
      <c r="O90" s="3">
        <v>45833.973158958332</v>
      </c>
      <c r="P90" s="3">
        <v>45833.973836701392</v>
      </c>
      <c r="Q90" s="1" t="s">
        <v>110</v>
      </c>
      <c r="R90" s="1" t="s">
        <v>114</v>
      </c>
      <c r="T90">
        <f t="shared" si="1"/>
        <v>-7.7413186687847997</v>
      </c>
    </row>
    <row r="91" spans="1:20" x14ac:dyDescent="0.3">
      <c r="A91">
        <v>90</v>
      </c>
      <c r="B91">
        <v>2</v>
      </c>
      <c r="C91">
        <v>1750893728.54178</v>
      </c>
      <c r="D91">
        <v>1750893803.0533099</v>
      </c>
      <c r="E91">
        <v>74.511526907355901</v>
      </c>
      <c r="F91">
        <v>1750893064</v>
      </c>
      <c r="G91">
        <v>1750893112</v>
      </c>
      <c r="H91">
        <v>48.564</v>
      </c>
      <c r="I91">
        <v>25.947526907355901</v>
      </c>
      <c r="J91">
        <v>25.947526907355901</v>
      </c>
      <c r="K91">
        <v>42.165209541434997</v>
      </c>
      <c r="L91">
        <v>691.053313970565</v>
      </c>
      <c r="M91">
        <v>691.053313970565</v>
      </c>
      <c r="N91" s="2">
        <v>3.9468610211540703E-5</v>
      </c>
      <c r="O91" s="3">
        <v>45833.973709976854</v>
      </c>
      <c r="P91" s="3">
        <v>45833.974572372688</v>
      </c>
      <c r="Q91" s="1" t="s">
        <v>111</v>
      </c>
      <c r="R91" s="1" t="s">
        <v>115</v>
      </c>
      <c r="T91">
        <f t="shared" si="1"/>
        <v>-25.947526907355901</v>
      </c>
    </row>
    <row r="92" spans="1:20" x14ac:dyDescent="0.3">
      <c r="A92">
        <v>91</v>
      </c>
      <c r="B92">
        <v>1</v>
      </c>
      <c r="C92">
        <v>1750893739.4906399</v>
      </c>
      <c r="D92">
        <v>1750893797.1175799</v>
      </c>
      <c r="E92">
        <v>57.6269364801107</v>
      </c>
      <c r="F92">
        <v>1750893075</v>
      </c>
      <c r="G92">
        <v>1750893126</v>
      </c>
      <c r="H92">
        <v>51.581000000000003</v>
      </c>
      <c r="I92">
        <v>6.0459364801107602</v>
      </c>
      <c r="J92">
        <v>6.0459364801107602</v>
      </c>
      <c r="K92">
        <v>11.0723390167011</v>
      </c>
      <c r="L92">
        <v>671.11758518218903</v>
      </c>
      <c r="M92">
        <v>671.11758518218903</v>
      </c>
      <c r="N92" s="2">
        <v>3.8330006931701199E-5</v>
      </c>
      <c r="O92" s="3">
        <v>45833.973836701392</v>
      </c>
      <c r="P92" s="3">
        <v>45833.974503680554</v>
      </c>
      <c r="Q92" s="1" t="s">
        <v>112</v>
      </c>
      <c r="R92" s="1" t="s">
        <v>116</v>
      </c>
      <c r="T92">
        <f t="shared" si="1"/>
        <v>-6.0459364801106972</v>
      </c>
    </row>
    <row r="93" spans="1:20" x14ac:dyDescent="0.3">
      <c r="A93">
        <v>92</v>
      </c>
      <c r="B93">
        <v>3</v>
      </c>
      <c r="C93">
        <v>1750893747.2699399</v>
      </c>
      <c r="D93">
        <v>1750893787.4146299</v>
      </c>
      <c r="E93">
        <v>40.1446888794936</v>
      </c>
      <c r="F93">
        <v>1750893086</v>
      </c>
      <c r="G93">
        <v>1750893130</v>
      </c>
      <c r="H93">
        <v>44.076999999999998</v>
      </c>
      <c r="I93">
        <v>-3.9323111205063501</v>
      </c>
      <c r="J93">
        <v>3.9323111205063501</v>
      </c>
      <c r="K93">
        <v>9.3380011083197303</v>
      </c>
      <c r="L93">
        <v>657.41463685035706</v>
      </c>
      <c r="M93">
        <v>657.41463685035706</v>
      </c>
      <c r="N93" s="2">
        <v>3.7547380943197097E-5</v>
      </c>
      <c r="O93" s="3">
        <v>45833.973926736115</v>
      </c>
      <c r="P93" s="3">
        <v>45833.974391377313</v>
      </c>
      <c r="Q93" s="1" t="s">
        <v>114</v>
      </c>
      <c r="R93" s="1" t="s">
        <v>117</v>
      </c>
      <c r="T93">
        <f t="shared" si="1"/>
        <v>3.9323111205063981</v>
      </c>
    </row>
    <row r="94" spans="1:20" x14ac:dyDescent="0.3">
      <c r="A94">
        <v>93</v>
      </c>
      <c r="B94">
        <v>3</v>
      </c>
      <c r="C94">
        <v>1750893787.4146299</v>
      </c>
      <c r="D94">
        <v>1750893879.7323301</v>
      </c>
      <c r="E94">
        <v>92.3176969694848</v>
      </c>
      <c r="F94">
        <v>1750893094</v>
      </c>
      <c r="G94">
        <v>1750893138</v>
      </c>
      <c r="H94">
        <v>44.218000000000004</v>
      </c>
      <c r="I94">
        <v>48.099696969484803</v>
      </c>
      <c r="J94">
        <v>48.099696969484803</v>
      </c>
      <c r="K94">
        <v>70.457320740428599</v>
      </c>
      <c r="L94">
        <v>741.73233389854397</v>
      </c>
      <c r="M94">
        <v>741.73233389854397</v>
      </c>
      <c r="N94" s="2">
        <v>4.2363075203749499E-5</v>
      </c>
      <c r="O94" s="3">
        <v>45833.974391377313</v>
      </c>
      <c r="P94" s="3">
        <v>45833.975459861111</v>
      </c>
      <c r="Q94" s="1" t="s">
        <v>113</v>
      </c>
      <c r="R94" s="1" t="s">
        <v>118</v>
      </c>
      <c r="T94">
        <f t="shared" si="1"/>
        <v>-48.099696969484796</v>
      </c>
    </row>
    <row r="95" spans="1:20" x14ac:dyDescent="0.3">
      <c r="A95">
        <v>94</v>
      </c>
      <c r="B95">
        <v>1</v>
      </c>
      <c r="C95">
        <v>1750893797.1175799</v>
      </c>
      <c r="D95">
        <v>1750893860.53127</v>
      </c>
      <c r="E95">
        <v>63.413685524699602</v>
      </c>
      <c r="F95">
        <v>1750893112</v>
      </c>
      <c r="G95">
        <v>1750893205</v>
      </c>
      <c r="H95">
        <v>92.513000000000005</v>
      </c>
      <c r="I95">
        <v>-29.0993144753003</v>
      </c>
      <c r="J95">
        <v>29.0993144753003</v>
      </c>
      <c r="K95">
        <v>37.324354554680497</v>
      </c>
      <c r="L95">
        <v>655.53127074241604</v>
      </c>
      <c r="M95">
        <v>655.53127074241604</v>
      </c>
      <c r="N95" s="2">
        <v>3.7439813356724601E-5</v>
      </c>
      <c r="O95" s="3">
        <v>45833.974503680554</v>
      </c>
      <c r="P95" s="3">
        <v>45833.975237627317</v>
      </c>
      <c r="Q95" s="1" t="s">
        <v>115</v>
      </c>
      <c r="R95" s="1" t="s">
        <v>119</v>
      </c>
      <c r="T95">
        <f t="shared" si="1"/>
        <v>29.099314475300403</v>
      </c>
    </row>
    <row r="96" spans="1:20" x14ac:dyDescent="0.3">
      <c r="A96">
        <v>95</v>
      </c>
      <c r="B96">
        <v>2</v>
      </c>
      <c r="C96">
        <v>1750893803.0533099</v>
      </c>
      <c r="D96">
        <v>1750893850.85812</v>
      </c>
      <c r="E96">
        <v>47.804814239033099</v>
      </c>
      <c r="F96">
        <v>1750893126</v>
      </c>
      <c r="G96">
        <v>1750893179</v>
      </c>
      <c r="H96">
        <v>53.137</v>
      </c>
      <c r="I96">
        <v>-5.3321857609668299</v>
      </c>
      <c r="J96">
        <v>5.3321857609668299</v>
      </c>
      <c r="K96">
        <v>10.5648700712671</v>
      </c>
      <c r="L96">
        <v>671.85812830924897</v>
      </c>
      <c r="M96">
        <v>671.85812830924897</v>
      </c>
      <c r="N96" s="2">
        <v>3.8372300918395302E-5</v>
      </c>
      <c r="O96" s="3">
        <v>45833.974572372688</v>
      </c>
      <c r="P96" s="3">
        <v>45833.975125671299</v>
      </c>
      <c r="Q96" s="1" t="s">
        <v>116</v>
      </c>
      <c r="R96" s="1" t="s">
        <v>120</v>
      </c>
      <c r="T96">
        <f t="shared" si="1"/>
        <v>5.332185760966901</v>
      </c>
    </row>
    <row r="97" spans="1:20" x14ac:dyDescent="0.3">
      <c r="A97">
        <v>96</v>
      </c>
      <c r="B97">
        <v>2</v>
      </c>
      <c r="C97">
        <v>1750893850.85812</v>
      </c>
      <c r="D97">
        <v>1750893908.83149</v>
      </c>
      <c r="E97">
        <v>57.973367873465698</v>
      </c>
      <c r="F97">
        <v>1750893130</v>
      </c>
      <c r="G97">
        <v>1750893191</v>
      </c>
      <c r="H97">
        <v>60.161999999999999</v>
      </c>
      <c r="I97">
        <v>-2.1886321265342801</v>
      </c>
      <c r="J97">
        <v>2.1886321265342801</v>
      </c>
      <c r="K97">
        <v>3.7052953166041198</v>
      </c>
      <c r="L97">
        <v>717.83149623870804</v>
      </c>
      <c r="M97">
        <v>717.83149623870804</v>
      </c>
      <c r="N97" s="2">
        <v>4.0998009060759199E-5</v>
      </c>
      <c r="O97" s="3">
        <v>45833.975125671299</v>
      </c>
      <c r="P97" s="3">
        <v>45833.97579665509</v>
      </c>
      <c r="Q97" s="1" t="s">
        <v>117</v>
      </c>
      <c r="R97" s="1" t="s">
        <v>121</v>
      </c>
      <c r="T97">
        <f t="shared" si="1"/>
        <v>2.1886321265343014</v>
      </c>
    </row>
    <row r="98" spans="1:20" x14ac:dyDescent="0.3">
      <c r="A98">
        <v>97</v>
      </c>
      <c r="B98">
        <v>1</v>
      </c>
      <c r="C98">
        <v>1750893860.53127</v>
      </c>
      <c r="D98">
        <v>1750893917.1997001</v>
      </c>
      <c r="E98">
        <v>56.668437246159797</v>
      </c>
      <c r="F98">
        <v>1750893138</v>
      </c>
      <c r="G98">
        <v>1750893191</v>
      </c>
      <c r="H98">
        <v>53.561999999999998</v>
      </c>
      <c r="I98">
        <v>3.10643724615983</v>
      </c>
      <c r="J98">
        <v>3.10643724615983</v>
      </c>
      <c r="K98">
        <v>5.6362604082259598</v>
      </c>
      <c r="L98">
        <v>726.19970798492398</v>
      </c>
      <c r="M98">
        <v>726.19970798492398</v>
      </c>
      <c r="N98" s="2">
        <v>4.1475948454117597E-5</v>
      </c>
      <c r="O98" s="3">
        <v>45833.975237627317</v>
      </c>
      <c r="P98" s="3">
        <v>45833.975893518516</v>
      </c>
      <c r="Q98" s="1" t="s">
        <v>118</v>
      </c>
      <c r="R98" s="1" t="s">
        <v>121</v>
      </c>
      <c r="T98">
        <f t="shared" si="1"/>
        <v>-3.1064372461597998</v>
      </c>
    </row>
    <row r="99" spans="1:20" x14ac:dyDescent="0.3">
      <c r="A99">
        <v>98</v>
      </c>
      <c r="B99">
        <v>3</v>
      </c>
      <c r="C99">
        <v>1750893879.7323301</v>
      </c>
      <c r="D99">
        <v>1750893940.92065</v>
      </c>
      <c r="E99">
        <v>61.188321347598603</v>
      </c>
      <c r="F99">
        <v>1750893179</v>
      </c>
      <c r="G99">
        <v>1750893216</v>
      </c>
      <c r="H99">
        <v>36.613</v>
      </c>
      <c r="I99">
        <v>24.575321347598599</v>
      </c>
      <c r="J99">
        <v>24.575321347598599</v>
      </c>
      <c r="K99">
        <v>50.255601885489298</v>
      </c>
      <c r="L99">
        <v>724.92065525054898</v>
      </c>
      <c r="M99">
        <v>724.92065525054898</v>
      </c>
      <c r="N99" s="2">
        <v>4.1402896450623702E-5</v>
      </c>
      <c r="O99" s="3">
        <v>45833.975459861111</v>
      </c>
      <c r="P99" s="3">
        <v>45833.976168067129</v>
      </c>
      <c r="Q99" s="1" t="s">
        <v>120</v>
      </c>
      <c r="R99" s="1" t="s">
        <v>122</v>
      </c>
      <c r="T99">
        <f t="shared" si="1"/>
        <v>-24.575321347598603</v>
      </c>
    </row>
    <row r="100" spans="1:20" x14ac:dyDescent="0.3">
      <c r="A100">
        <v>99</v>
      </c>
      <c r="B100">
        <v>2</v>
      </c>
      <c r="C100">
        <v>1750893908.83149</v>
      </c>
      <c r="D100">
        <v>1750893970.01635</v>
      </c>
      <c r="E100">
        <v>61.184858926068699</v>
      </c>
      <c r="F100">
        <v>1750893191</v>
      </c>
      <c r="G100">
        <v>1750893248</v>
      </c>
      <c r="H100">
        <v>56.250999999999998</v>
      </c>
      <c r="I100">
        <v>4.9338589260687797</v>
      </c>
      <c r="J100">
        <v>4.9338589260687797</v>
      </c>
      <c r="K100">
        <v>8.4026445945694803</v>
      </c>
      <c r="L100">
        <v>722.01635527610699</v>
      </c>
      <c r="M100">
        <v>722.01635527610699</v>
      </c>
      <c r="N100" s="2">
        <v>4.1237020431247397E-5</v>
      </c>
      <c r="O100" s="3">
        <v>45833.97579665509</v>
      </c>
      <c r="P100" s="3">
        <v>45833.976504814818</v>
      </c>
      <c r="Q100" s="1" t="s">
        <v>121</v>
      </c>
      <c r="R100" s="1" t="s">
        <v>123</v>
      </c>
      <c r="T100">
        <f t="shared" si="1"/>
        <v>-4.9338589260687016</v>
      </c>
    </row>
    <row r="101" spans="1:20" x14ac:dyDescent="0.3">
      <c r="A101">
        <v>100</v>
      </c>
      <c r="B101">
        <v>1</v>
      </c>
      <c r="C101">
        <v>1750893917.1997001</v>
      </c>
      <c r="D101">
        <v>1750893979.7079101</v>
      </c>
      <c r="E101">
        <v>62.508209910602801</v>
      </c>
      <c r="F101">
        <v>1750893191</v>
      </c>
      <c r="G101">
        <v>1750893256</v>
      </c>
      <c r="H101">
        <v>64.728999999999999</v>
      </c>
      <c r="I101">
        <v>-2.2207900893971799</v>
      </c>
      <c r="J101">
        <v>2.2207900893971799</v>
      </c>
      <c r="K101">
        <v>3.4907871540998299</v>
      </c>
      <c r="L101">
        <v>723.707917928695</v>
      </c>
      <c r="M101">
        <v>723.707917928695</v>
      </c>
      <c r="N101" s="2">
        <v>4.1333631612395197E-5</v>
      </c>
      <c r="O101" s="3">
        <v>45833.975893518516</v>
      </c>
      <c r="P101" s="3">
        <v>45833.976616990738</v>
      </c>
      <c r="Q101" s="1" t="s">
        <v>121</v>
      </c>
      <c r="R101" s="1" t="s">
        <v>124</v>
      </c>
      <c r="T101">
        <f t="shared" si="1"/>
        <v>2.2207900893971981</v>
      </c>
    </row>
    <row r="102" spans="1:20" x14ac:dyDescent="0.3">
      <c r="A102">
        <v>101</v>
      </c>
      <c r="B102">
        <v>3</v>
      </c>
      <c r="C102">
        <v>1750893940.92065</v>
      </c>
      <c r="D102">
        <v>1750894008.29598</v>
      </c>
      <c r="E102">
        <v>67.375332535604301</v>
      </c>
      <c r="F102">
        <v>1750893205</v>
      </c>
      <c r="G102">
        <v>1750893292</v>
      </c>
      <c r="H102">
        <v>87.561999999999998</v>
      </c>
      <c r="I102">
        <v>-20.186667464395601</v>
      </c>
      <c r="J102">
        <v>20.186667464395601</v>
      </c>
      <c r="K102">
        <v>26.057848207444501</v>
      </c>
      <c r="L102">
        <v>716.29598784446705</v>
      </c>
      <c r="M102">
        <v>716.29598784446705</v>
      </c>
      <c r="N102" s="2">
        <v>4.0910308160859501E-5</v>
      </c>
      <c r="O102" s="3">
        <v>45833.976168067129</v>
      </c>
      <c r="P102" s="3">
        <v>45833.976947870367</v>
      </c>
      <c r="Q102" s="1" t="s">
        <v>119</v>
      </c>
      <c r="R102" s="1" t="s">
        <v>125</v>
      </c>
      <c r="T102">
        <f t="shared" si="1"/>
        <v>20.186667464395697</v>
      </c>
    </row>
    <row r="103" spans="1:20" x14ac:dyDescent="0.3">
      <c r="A103">
        <v>102</v>
      </c>
      <c r="B103">
        <v>2</v>
      </c>
      <c r="C103">
        <v>1750893970.01635</v>
      </c>
      <c r="D103">
        <v>1750894067.8469601</v>
      </c>
      <c r="E103">
        <v>97.830608774691399</v>
      </c>
      <c r="F103">
        <v>1750893216</v>
      </c>
      <c r="G103">
        <v>1750893280</v>
      </c>
      <c r="H103">
        <v>64.647000000000006</v>
      </c>
      <c r="I103">
        <v>33.1836087746914</v>
      </c>
      <c r="J103">
        <v>33.1836087746914</v>
      </c>
      <c r="K103">
        <v>40.8469930410008</v>
      </c>
      <c r="L103">
        <v>787.84696412086396</v>
      </c>
      <c r="M103">
        <v>787.84696412086396</v>
      </c>
      <c r="N103" s="2">
        <v>4.4996847944251301E-5</v>
      </c>
      <c r="O103" s="3">
        <v>45833.976504814818</v>
      </c>
      <c r="P103" s="3">
        <v>45833.977637118056</v>
      </c>
      <c r="Q103" s="1" t="s">
        <v>122</v>
      </c>
      <c r="R103" s="1" t="s">
        <v>126</v>
      </c>
      <c r="T103">
        <f t="shared" si="1"/>
        <v>-33.183608774691393</v>
      </c>
    </row>
    <row r="104" spans="1:20" x14ac:dyDescent="0.3">
      <c r="A104">
        <v>103</v>
      </c>
      <c r="B104">
        <v>1</v>
      </c>
      <c r="C104">
        <v>1750893979.7079101</v>
      </c>
      <c r="D104">
        <v>1750894060.7313499</v>
      </c>
      <c r="E104">
        <v>81.023435403709001</v>
      </c>
      <c r="F104">
        <v>1750893247</v>
      </c>
      <c r="G104">
        <v>1750893299</v>
      </c>
      <c r="H104">
        <v>51.741</v>
      </c>
      <c r="I104">
        <v>29.282435403709002</v>
      </c>
      <c r="J104">
        <v>29.282435403709002</v>
      </c>
      <c r="K104">
        <v>44.111866727964099</v>
      </c>
      <c r="L104">
        <v>761.73135328292801</v>
      </c>
      <c r="M104">
        <v>761.73135328292801</v>
      </c>
      <c r="N104" s="2">
        <v>4.3505288872900899E-5</v>
      </c>
      <c r="O104" s="3">
        <v>45833.976616990738</v>
      </c>
      <c r="P104" s="3">
        <v>45833.977554756944</v>
      </c>
      <c r="Q104" s="1" t="s">
        <v>127</v>
      </c>
      <c r="R104" s="1" t="s">
        <v>128</v>
      </c>
      <c r="T104">
        <f t="shared" si="1"/>
        <v>-29.282435403709002</v>
      </c>
    </row>
    <row r="105" spans="1:20" x14ac:dyDescent="0.3">
      <c r="A105">
        <v>104</v>
      </c>
      <c r="B105">
        <v>3</v>
      </c>
      <c r="C105">
        <v>1750894008.29598</v>
      </c>
      <c r="D105">
        <v>1750894084.0227799</v>
      </c>
      <c r="E105">
        <v>75.726794061748294</v>
      </c>
      <c r="F105">
        <v>1750893256</v>
      </c>
      <c r="G105">
        <v>1750893302</v>
      </c>
      <c r="H105">
        <v>45.908999999999999</v>
      </c>
      <c r="I105">
        <v>29.817794061748302</v>
      </c>
      <c r="J105">
        <v>29.817794061748302</v>
      </c>
      <c r="K105">
        <v>49.027992609825603</v>
      </c>
      <c r="L105">
        <v>782.02278184890702</v>
      </c>
      <c r="M105">
        <v>782.02278184890702</v>
      </c>
      <c r="N105" s="2">
        <v>4.46642069116082E-5</v>
      </c>
      <c r="O105" s="3">
        <v>45833.976947870367</v>
      </c>
      <c r="P105" s="3">
        <v>45833.977824340276</v>
      </c>
      <c r="Q105" s="1" t="s">
        <v>124</v>
      </c>
      <c r="R105" s="1" t="s">
        <v>129</v>
      </c>
      <c r="T105">
        <f t="shared" si="1"/>
        <v>-29.817794061748295</v>
      </c>
    </row>
    <row r="106" spans="1:20" x14ac:dyDescent="0.3">
      <c r="A106">
        <v>105</v>
      </c>
      <c r="B106">
        <v>1</v>
      </c>
      <c r="C106">
        <v>1750894060.7313499</v>
      </c>
      <c r="D106">
        <v>1750894128.0439501</v>
      </c>
      <c r="E106">
        <v>67.312606528203105</v>
      </c>
      <c r="F106">
        <v>1750893280</v>
      </c>
      <c r="G106">
        <v>1750893367</v>
      </c>
      <c r="H106">
        <v>86.063000000000002</v>
      </c>
      <c r="I106">
        <v>-18.750393471796801</v>
      </c>
      <c r="J106">
        <v>18.750393471796801</v>
      </c>
      <c r="K106">
        <v>24.450294145502099</v>
      </c>
      <c r="L106">
        <v>761.04395985603298</v>
      </c>
      <c r="M106">
        <v>761.04395985603298</v>
      </c>
      <c r="N106" s="2">
        <v>4.3466027617788299E-5</v>
      </c>
      <c r="O106" s="3">
        <v>45833.977554756944</v>
      </c>
      <c r="P106" s="3">
        <v>45833.978333842591</v>
      </c>
      <c r="Q106" s="1" t="s">
        <v>126</v>
      </c>
      <c r="R106" s="1" t="s">
        <v>130</v>
      </c>
      <c r="T106">
        <f t="shared" si="1"/>
        <v>18.750393471796897</v>
      </c>
    </row>
    <row r="107" spans="1:20" x14ac:dyDescent="0.3">
      <c r="A107">
        <v>106</v>
      </c>
      <c r="B107">
        <v>2</v>
      </c>
      <c r="C107">
        <v>1750894067.8469601</v>
      </c>
      <c r="D107">
        <v>1750894116.2497499</v>
      </c>
      <c r="E107">
        <v>48.402795467766097</v>
      </c>
      <c r="F107">
        <v>1750893292</v>
      </c>
      <c r="G107">
        <v>1750893385</v>
      </c>
      <c r="H107">
        <v>92.6</v>
      </c>
      <c r="I107">
        <v>-44.197204532233798</v>
      </c>
      <c r="J107">
        <v>44.197204532233798</v>
      </c>
      <c r="K107">
        <v>62.689827369184897</v>
      </c>
      <c r="L107">
        <v>731.24975967407204</v>
      </c>
      <c r="M107">
        <v>731.24975967407204</v>
      </c>
      <c r="N107" s="2">
        <v>4.1764370877050298E-5</v>
      </c>
      <c r="O107" s="3">
        <v>45833.977637118056</v>
      </c>
      <c r="P107" s="3">
        <v>45833.978197337965</v>
      </c>
      <c r="Q107" s="1" t="s">
        <v>125</v>
      </c>
      <c r="R107" s="1" t="s">
        <v>131</v>
      </c>
      <c r="T107">
        <f t="shared" si="1"/>
        <v>44.197204532233897</v>
      </c>
    </row>
    <row r="108" spans="1:20" x14ac:dyDescent="0.3">
      <c r="A108">
        <v>107</v>
      </c>
      <c r="B108">
        <v>3</v>
      </c>
      <c r="C108">
        <v>1750894084.0227799</v>
      </c>
      <c r="D108">
        <v>1750894160.6842401</v>
      </c>
      <c r="E108">
        <v>76.661462421803193</v>
      </c>
      <c r="F108">
        <v>1750893299</v>
      </c>
      <c r="G108">
        <v>1750893392</v>
      </c>
      <c r="H108">
        <v>92.376000000000005</v>
      </c>
      <c r="I108">
        <v>-15.714537578196801</v>
      </c>
      <c r="J108">
        <v>15.714537578196801</v>
      </c>
      <c r="K108">
        <v>18.592964367844001</v>
      </c>
      <c r="L108">
        <v>768.68424415588299</v>
      </c>
      <c r="M108">
        <v>768.68424415588299</v>
      </c>
      <c r="N108" s="2">
        <v>4.3902391712293299E-5</v>
      </c>
      <c r="O108" s="3">
        <v>45833.977824340276</v>
      </c>
      <c r="P108" s="3">
        <v>45833.978711620373</v>
      </c>
      <c r="Q108" s="1" t="s">
        <v>128</v>
      </c>
      <c r="R108" s="1" t="s">
        <v>132</v>
      </c>
      <c r="T108">
        <f t="shared" si="1"/>
        <v>15.714537578196811</v>
      </c>
    </row>
    <row r="109" spans="1:20" x14ac:dyDescent="0.3">
      <c r="A109">
        <v>108</v>
      </c>
      <c r="B109">
        <v>2</v>
      </c>
      <c r="C109">
        <v>1750894116.2497499</v>
      </c>
      <c r="D109">
        <v>1750894213.3851299</v>
      </c>
      <c r="E109">
        <v>97.135371716897296</v>
      </c>
      <c r="F109">
        <v>1750893302</v>
      </c>
      <c r="G109">
        <v>1750893336</v>
      </c>
      <c r="H109">
        <v>34.067</v>
      </c>
      <c r="I109">
        <v>63.068371716897303</v>
      </c>
      <c r="J109">
        <v>63.068371716897303</v>
      </c>
      <c r="K109">
        <v>96.139072627411693</v>
      </c>
      <c r="L109">
        <v>877.3851313591</v>
      </c>
      <c r="M109">
        <v>877.3851313591</v>
      </c>
      <c r="N109" s="2">
        <v>5.01107002629647E-5</v>
      </c>
      <c r="O109" s="3">
        <v>45833.978197337965</v>
      </c>
      <c r="P109" s="3">
        <v>45833.979321585648</v>
      </c>
      <c r="Q109" s="1" t="s">
        <v>129</v>
      </c>
      <c r="R109" s="1" t="s">
        <v>133</v>
      </c>
      <c r="T109">
        <f t="shared" si="1"/>
        <v>-63.068371716897296</v>
      </c>
    </row>
    <row r="110" spans="1:20" x14ac:dyDescent="0.3">
      <c r="A110">
        <v>109</v>
      </c>
      <c r="B110">
        <v>1</v>
      </c>
      <c r="C110">
        <v>1750894128.0439501</v>
      </c>
      <c r="D110">
        <v>1750894170.40365</v>
      </c>
      <c r="E110">
        <v>42.359699576888197</v>
      </c>
      <c r="F110">
        <v>1750893336</v>
      </c>
      <c r="G110">
        <v>1750893380</v>
      </c>
      <c r="H110">
        <v>43.692</v>
      </c>
      <c r="I110">
        <v>-1.3323004231117701</v>
      </c>
      <c r="J110">
        <v>1.3323004231117701</v>
      </c>
      <c r="K110">
        <v>3.0965115846929798</v>
      </c>
      <c r="L110">
        <v>790.40365934371903</v>
      </c>
      <c r="M110">
        <v>790.40365934371903</v>
      </c>
      <c r="N110" s="2">
        <v>4.5142867633566598E-5</v>
      </c>
      <c r="O110" s="3">
        <v>45833.978333842591</v>
      </c>
      <c r="P110" s="3">
        <v>45833.978824120371</v>
      </c>
      <c r="Q110" s="1" t="s">
        <v>133</v>
      </c>
      <c r="R110" s="1" t="s">
        <v>134</v>
      </c>
      <c r="T110">
        <f t="shared" si="1"/>
        <v>1.3323004231118034</v>
      </c>
    </row>
    <row r="111" spans="1:20" x14ac:dyDescent="0.3">
      <c r="A111">
        <v>110</v>
      </c>
      <c r="B111">
        <v>3</v>
      </c>
      <c r="C111">
        <v>1750894160.6842401</v>
      </c>
      <c r="D111">
        <v>1750894201.7852099</v>
      </c>
      <c r="E111">
        <v>41.100967252550802</v>
      </c>
      <c r="F111">
        <v>1750893367</v>
      </c>
      <c r="G111">
        <v>1750893416</v>
      </c>
      <c r="H111">
        <v>48.698999999999998</v>
      </c>
      <c r="I111">
        <v>-7.5980327474491496</v>
      </c>
      <c r="J111">
        <v>7.5980327474491496</v>
      </c>
      <c r="K111">
        <v>16.922128102966099</v>
      </c>
      <c r="L111">
        <v>785.78521132469098</v>
      </c>
      <c r="M111">
        <v>785.78521132469098</v>
      </c>
      <c r="N111" s="2">
        <v>4.4879090172903102E-5</v>
      </c>
      <c r="O111" s="3">
        <v>45833.978711620373</v>
      </c>
      <c r="P111" s="3">
        <v>45833.979187326389</v>
      </c>
      <c r="Q111" s="1" t="s">
        <v>130</v>
      </c>
      <c r="R111" s="1" t="s">
        <v>135</v>
      </c>
      <c r="T111">
        <f t="shared" si="1"/>
        <v>7.5980327474491958</v>
      </c>
    </row>
    <row r="112" spans="1:20" x14ac:dyDescent="0.3">
      <c r="A112">
        <v>111</v>
      </c>
      <c r="B112">
        <v>1</v>
      </c>
      <c r="C112">
        <v>1750894170.40365</v>
      </c>
      <c r="D112">
        <v>1750894234.3138499</v>
      </c>
      <c r="E112">
        <v>63.9101920655499</v>
      </c>
      <c r="F112">
        <v>1750893380</v>
      </c>
      <c r="G112">
        <v>1750893458</v>
      </c>
      <c r="H112">
        <v>78.587000000000003</v>
      </c>
      <c r="I112">
        <v>-14.67680793445</v>
      </c>
      <c r="J112">
        <v>14.67680793445</v>
      </c>
      <c r="K112">
        <v>20.599434587733501</v>
      </c>
      <c r="L112">
        <v>776.31385135650601</v>
      </c>
      <c r="M112">
        <v>776.31385135650601</v>
      </c>
      <c r="N112" s="2">
        <v>4.4338144945820301E-5</v>
      </c>
      <c r="O112" s="3">
        <v>45833.978824120371</v>
      </c>
      <c r="P112" s="3">
        <v>45833.979563819441</v>
      </c>
      <c r="Q112" s="1" t="s">
        <v>134</v>
      </c>
      <c r="R112" s="1" t="s">
        <v>136</v>
      </c>
      <c r="T112">
        <f t="shared" si="1"/>
        <v>14.676807934450103</v>
      </c>
    </row>
    <row r="113" spans="1:20" x14ac:dyDescent="0.3">
      <c r="A113">
        <v>112</v>
      </c>
      <c r="B113">
        <v>3</v>
      </c>
      <c r="C113">
        <v>1750894201.7852099</v>
      </c>
      <c r="D113">
        <v>1750894262.53636</v>
      </c>
      <c r="E113">
        <v>60.751152224784803</v>
      </c>
      <c r="F113">
        <v>1750893385</v>
      </c>
      <c r="G113">
        <v>1750893421</v>
      </c>
      <c r="H113">
        <v>36.997</v>
      </c>
      <c r="I113">
        <v>23.7541522247848</v>
      </c>
      <c r="J113">
        <v>23.7541522247848</v>
      </c>
      <c r="K113">
        <v>48.602764725739299</v>
      </c>
      <c r="L113">
        <v>841.536363601684</v>
      </c>
      <c r="M113">
        <v>841.536363601684</v>
      </c>
      <c r="N113" s="2">
        <v>4.80632431005548E-5</v>
      </c>
      <c r="O113" s="3">
        <v>45833.979187326389</v>
      </c>
      <c r="P113" s="3">
        <v>45833.979890462964</v>
      </c>
      <c r="Q113" s="1" t="s">
        <v>131</v>
      </c>
      <c r="R113" s="1" t="s">
        <v>137</v>
      </c>
      <c r="T113">
        <f t="shared" si="1"/>
        <v>-23.754152224784804</v>
      </c>
    </row>
    <row r="114" spans="1:20" x14ac:dyDescent="0.3">
      <c r="A114">
        <v>113</v>
      </c>
      <c r="B114">
        <v>2</v>
      </c>
      <c r="C114">
        <v>1750894213.3851299</v>
      </c>
      <c r="D114">
        <v>1750894279.1228199</v>
      </c>
      <c r="E114">
        <v>65.737689946894804</v>
      </c>
      <c r="F114">
        <v>1750893392</v>
      </c>
      <c r="G114">
        <v>1750893438</v>
      </c>
      <c r="H114">
        <v>45.938000000000002</v>
      </c>
      <c r="I114">
        <v>19.799689946894802</v>
      </c>
      <c r="J114">
        <v>19.799689946894802</v>
      </c>
      <c r="K114">
        <v>35.459265944647697</v>
      </c>
      <c r="L114">
        <v>841.12282133102406</v>
      </c>
      <c r="M114">
        <v>841.12282133102406</v>
      </c>
      <c r="N114" s="2">
        <v>4.8039623716660702E-5</v>
      </c>
      <c r="O114" s="3">
        <v>45833.979321585648</v>
      </c>
      <c r="P114" s="3">
        <v>45833.980082442133</v>
      </c>
      <c r="Q114" s="1" t="s">
        <v>132</v>
      </c>
      <c r="R114" s="1" t="s">
        <v>138</v>
      </c>
      <c r="T114">
        <f t="shared" si="1"/>
        <v>-19.799689946894802</v>
      </c>
    </row>
    <row r="115" spans="1:20" x14ac:dyDescent="0.3">
      <c r="A115">
        <v>114</v>
      </c>
      <c r="B115">
        <v>1</v>
      </c>
      <c r="C115">
        <v>1750894234.3138499</v>
      </c>
      <c r="D115">
        <v>1750894295.8469901</v>
      </c>
      <c r="E115">
        <v>61.533148122119499</v>
      </c>
      <c r="F115">
        <v>1750893416</v>
      </c>
      <c r="G115">
        <v>1750893474</v>
      </c>
      <c r="H115">
        <v>58.728999999999999</v>
      </c>
      <c r="I115">
        <v>2.8041481221195599</v>
      </c>
      <c r="J115">
        <v>2.8041481221195599</v>
      </c>
      <c r="K115">
        <v>4.6633927065265901</v>
      </c>
      <c r="L115">
        <v>821.84699940681401</v>
      </c>
      <c r="M115">
        <v>821.84699940681401</v>
      </c>
      <c r="N115" s="2">
        <v>4.6938709791811403E-5</v>
      </c>
      <c r="O115" s="3">
        <v>45833.979563819441</v>
      </c>
      <c r="P115" s="3">
        <v>45833.980276006943</v>
      </c>
      <c r="Q115" s="1" t="s">
        <v>135</v>
      </c>
      <c r="R115" s="1" t="s">
        <v>139</v>
      </c>
      <c r="T115">
        <f t="shared" si="1"/>
        <v>-2.8041481221194999</v>
      </c>
    </row>
    <row r="116" spans="1:20" x14ac:dyDescent="0.3">
      <c r="A116">
        <v>115</v>
      </c>
      <c r="B116">
        <v>3</v>
      </c>
      <c r="C116">
        <v>1750894262.53636</v>
      </c>
      <c r="D116">
        <v>1750894358.3368199</v>
      </c>
      <c r="E116">
        <v>95.8004633253462</v>
      </c>
      <c r="F116">
        <v>1750893421</v>
      </c>
      <c r="G116">
        <v>1750893456</v>
      </c>
      <c r="H116">
        <v>34.881999999999998</v>
      </c>
      <c r="I116">
        <v>60.918463325346202</v>
      </c>
      <c r="J116">
        <v>60.918463325346202</v>
      </c>
      <c r="K116">
        <v>93.231274916641198</v>
      </c>
      <c r="L116">
        <v>902.33682703971795</v>
      </c>
      <c r="M116">
        <v>902.33682703971795</v>
      </c>
      <c r="N116" s="2">
        <v>5.1535779714888501E-5</v>
      </c>
      <c r="O116" s="3">
        <v>45833.979890462964</v>
      </c>
      <c r="P116" s="3">
        <v>45833.980999270832</v>
      </c>
      <c r="Q116" s="1" t="s">
        <v>137</v>
      </c>
      <c r="R116" s="1" t="s">
        <v>140</v>
      </c>
      <c r="T116">
        <f t="shared" si="1"/>
        <v>-60.918463325346202</v>
      </c>
    </row>
    <row r="117" spans="1:20" x14ac:dyDescent="0.3">
      <c r="A117">
        <v>116</v>
      </c>
      <c r="B117">
        <v>2</v>
      </c>
      <c r="C117">
        <v>1750894279.1228199</v>
      </c>
      <c r="D117">
        <v>1750894243.22474</v>
      </c>
      <c r="E117">
        <v>35.898073532817499</v>
      </c>
      <c r="F117">
        <v>1750893438</v>
      </c>
      <c r="G117">
        <v>1750893522</v>
      </c>
      <c r="H117">
        <v>83.57</v>
      </c>
      <c r="I117">
        <v>-119.468073532817</v>
      </c>
      <c r="J117">
        <v>119.468073532817</v>
      </c>
      <c r="K117">
        <v>200</v>
      </c>
      <c r="L117">
        <v>721.224747896194</v>
      </c>
      <c r="M117">
        <v>721.224747896194</v>
      </c>
      <c r="N117" s="2">
        <v>4.11918023735459E-5</v>
      </c>
      <c r="O117" s="3">
        <v>45833.980082442133</v>
      </c>
      <c r="P117" s="3">
        <v>45833.979666956016</v>
      </c>
      <c r="Q117" s="1" t="s">
        <v>138</v>
      </c>
      <c r="R117" s="1" t="s">
        <v>141</v>
      </c>
      <c r="T117">
        <f t="shared" si="1"/>
        <v>47.671926467182494</v>
      </c>
    </row>
    <row r="118" spans="1:20" x14ac:dyDescent="0.3">
      <c r="A118">
        <v>117</v>
      </c>
      <c r="B118">
        <v>2</v>
      </c>
      <c r="C118">
        <v>1750894243.22474</v>
      </c>
      <c r="D118">
        <v>1750894310.0313101</v>
      </c>
      <c r="E118">
        <v>66.806563669951998</v>
      </c>
      <c r="F118">
        <v>1750893456</v>
      </c>
      <c r="G118">
        <v>1750893540</v>
      </c>
      <c r="H118">
        <v>83.906999999999996</v>
      </c>
      <c r="I118">
        <v>-17.100436330047899</v>
      </c>
      <c r="J118">
        <v>17.100436330047899</v>
      </c>
      <c r="K118">
        <v>22.692630860346799</v>
      </c>
      <c r="L118">
        <v>770.03131151199295</v>
      </c>
      <c r="M118">
        <v>770.03131151199295</v>
      </c>
      <c r="N118" s="2">
        <v>4.3979323961907498E-5</v>
      </c>
      <c r="O118" s="3">
        <v>45833.979666956016</v>
      </c>
      <c r="P118" s="3">
        <v>45833.980440173611</v>
      </c>
      <c r="Q118" s="1" t="s">
        <v>140</v>
      </c>
      <c r="R118" s="1" t="s">
        <v>142</v>
      </c>
      <c r="T118">
        <f t="shared" si="1"/>
        <v>17.100436330047998</v>
      </c>
    </row>
    <row r="119" spans="1:20" x14ac:dyDescent="0.3">
      <c r="A119">
        <v>118</v>
      </c>
      <c r="B119">
        <v>1</v>
      </c>
      <c r="C119">
        <v>1750894295.8469901</v>
      </c>
      <c r="D119">
        <v>1750894352.4865201</v>
      </c>
      <c r="E119">
        <v>56.6395234439983</v>
      </c>
      <c r="F119">
        <v>1750893458</v>
      </c>
      <c r="G119">
        <v>1750893504</v>
      </c>
      <c r="H119">
        <v>45.655000000000001</v>
      </c>
      <c r="I119">
        <v>10.984523443998301</v>
      </c>
      <c r="J119">
        <v>10.984523443998301</v>
      </c>
      <c r="K119">
        <v>21.4762688640158</v>
      </c>
      <c r="L119">
        <v>848.48652291297901</v>
      </c>
      <c r="M119">
        <v>848.48652291297901</v>
      </c>
      <c r="N119" s="2">
        <v>4.8460189919345801E-5</v>
      </c>
      <c r="O119" s="3">
        <v>45833.980276006943</v>
      </c>
      <c r="P119" s="3">
        <v>45833.980931562503</v>
      </c>
      <c r="Q119" s="1" t="s">
        <v>136</v>
      </c>
      <c r="R119" s="1" t="s">
        <v>143</v>
      </c>
      <c r="T119">
        <f t="shared" si="1"/>
        <v>-10.984523443998299</v>
      </c>
    </row>
    <row r="120" spans="1:20" x14ac:dyDescent="0.3">
      <c r="A120">
        <v>119</v>
      </c>
      <c r="B120">
        <v>2</v>
      </c>
      <c r="C120">
        <v>1750894310.0313101</v>
      </c>
      <c r="D120">
        <v>1750894354.6753099</v>
      </c>
      <c r="E120">
        <v>44.6440051502614</v>
      </c>
      <c r="F120">
        <v>1750893474</v>
      </c>
      <c r="G120">
        <v>1750893550</v>
      </c>
      <c r="H120">
        <v>75.977999999999994</v>
      </c>
      <c r="I120">
        <v>-31.333994849738499</v>
      </c>
      <c r="J120">
        <v>31.333994849738499</v>
      </c>
      <c r="K120">
        <v>51.954027477333199</v>
      </c>
      <c r="L120">
        <v>804.67531657218899</v>
      </c>
      <c r="M120">
        <v>804.67531657218899</v>
      </c>
      <c r="N120" s="2">
        <v>4.5957969955738802E-5</v>
      </c>
      <c r="O120" s="3">
        <v>45833.980440173611</v>
      </c>
      <c r="P120" s="3">
        <v>45833.980956886575</v>
      </c>
      <c r="Q120" s="1" t="s">
        <v>139</v>
      </c>
      <c r="R120" s="1" t="s">
        <v>144</v>
      </c>
      <c r="T120">
        <f t="shared" si="1"/>
        <v>31.333994849738595</v>
      </c>
    </row>
    <row r="121" spans="1:20" x14ac:dyDescent="0.3">
      <c r="A121">
        <v>120</v>
      </c>
      <c r="B121">
        <v>1</v>
      </c>
      <c r="C121">
        <v>1750894352.4865201</v>
      </c>
      <c r="D121">
        <v>1750894416.7107201</v>
      </c>
      <c r="E121">
        <v>64.224204805265103</v>
      </c>
      <c r="F121">
        <v>1750893504</v>
      </c>
      <c r="G121">
        <v>1750893567</v>
      </c>
      <c r="H121">
        <v>63.63</v>
      </c>
      <c r="I121">
        <v>0.59420480526517105</v>
      </c>
      <c r="J121">
        <v>0.59420480526517105</v>
      </c>
      <c r="K121">
        <v>0.92950373618170001</v>
      </c>
      <c r="L121">
        <v>849.71072769165005</v>
      </c>
      <c r="M121">
        <v>849.71072769165005</v>
      </c>
      <c r="N121" s="2">
        <v>4.8530106999295801E-5</v>
      </c>
      <c r="O121" s="3">
        <v>45833.980931562503</v>
      </c>
      <c r="P121" s="3">
        <v>45833.981674895833</v>
      </c>
      <c r="Q121" s="1" t="s">
        <v>143</v>
      </c>
      <c r="R121" s="1" t="s">
        <v>145</v>
      </c>
      <c r="T121">
        <f t="shared" si="1"/>
        <v>-0.59420480526510033</v>
      </c>
    </row>
    <row r="122" spans="1:20" x14ac:dyDescent="0.3">
      <c r="A122">
        <v>121</v>
      </c>
      <c r="B122">
        <v>2</v>
      </c>
      <c r="C122">
        <v>1750894354.6753099</v>
      </c>
      <c r="D122">
        <v>1750894437.51717</v>
      </c>
      <c r="E122">
        <v>82.841856973850795</v>
      </c>
      <c r="F122">
        <v>1750893522</v>
      </c>
      <c r="G122">
        <v>1750893557</v>
      </c>
      <c r="H122">
        <v>34.883000000000003</v>
      </c>
      <c r="I122">
        <v>47.9588569738508</v>
      </c>
      <c r="J122">
        <v>47.9588569738508</v>
      </c>
      <c r="K122">
        <v>81.4761779400649</v>
      </c>
      <c r="L122">
        <v>880.51717352867104</v>
      </c>
      <c r="M122">
        <v>880.51717352867104</v>
      </c>
      <c r="N122" s="2">
        <v>5.0289576348272099E-5</v>
      </c>
      <c r="O122" s="3">
        <v>45833.980956886575</v>
      </c>
      <c r="P122" s="3">
        <v>45833.981915706019</v>
      </c>
      <c r="Q122" s="1" t="s">
        <v>141</v>
      </c>
      <c r="R122" s="1" t="s">
        <v>146</v>
      </c>
      <c r="T122">
        <f t="shared" si="1"/>
        <v>-47.958856973850793</v>
      </c>
    </row>
    <row r="123" spans="1:20" x14ac:dyDescent="0.3">
      <c r="A123">
        <v>122</v>
      </c>
      <c r="B123">
        <v>3</v>
      </c>
      <c r="C123">
        <v>1750894358.3368199</v>
      </c>
      <c r="D123">
        <v>1750894431.4790499</v>
      </c>
      <c r="E123">
        <v>73.142230995310499</v>
      </c>
      <c r="F123">
        <v>1750893540</v>
      </c>
      <c r="G123">
        <v>1750893584</v>
      </c>
      <c r="H123">
        <v>43.402999999999999</v>
      </c>
      <c r="I123">
        <v>29.7392309953105</v>
      </c>
      <c r="J123">
        <v>29.7392309953105</v>
      </c>
      <c r="K123">
        <v>51.034659661890601</v>
      </c>
      <c r="L123">
        <v>847.479058027267</v>
      </c>
      <c r="M123">
        <v>847.479058027267</v>
      </c>
      <c r="N123" s="2">
        <v>4.8402647692043602E-5</v>
      </c>
      <c r="O123" s="3">
        <v>45833.980999270832</v>
      </c>
      <c r="P123" s="3">
        <v>45833.981845821756</v>
      </c>
      <c r="Q123" s="1" t="s">
        <v>142</v>
      </c>
      <c r="R123" s="1" t="s">
        <v>147</v>
      </c>
      <c r="T123">
        <f t="shared" si="1"/>
        <v>-29.7392309953105</v>
      </c>
    </row>
    <row r="124" spans="1:20" x14ac:dyDescent="0.3">
      <c r="A124">
        <v>123</v>
      </c>
      <c r="B124">
        <v>1</v>
      </c>
      <c r="C124">
        <v>1750894416.7107201</v>
      </c>
      <c r="D124">
        <v>1750894488.65674</v>
      </c>
      <c r="E124">
        <v>71.946017058771602</v>
      </c>
      <c r="F124">
        <v>1750893550</v>
      </c>
      <c r="G124">
        <v>1750893608</v>
      </c>
      <c r="H124">
        <v>57.95</v>
      </c>
      <c r="I124">
        <v>13.996017058771599</v>
      </c>
      <c r="J124">
        <v>13.996017058771599</v>
      </c>
      <c r="K124">
        <v>21.549570765420899</v>
      </c>
      <c r="L124">
        <v>880.65674471855095</v>
      </c>
      <c r="M124">
        <v>880.65674471855095</v>
      </c>
      <c r="N124" s="2">
        <v>5.0297546305519698E-5</v>
      </c>
      <c r="O124" s="3">
        <v>45833.981674895833</v>
      </c>
      <c r="P124" s="3">
        <v>45833.982507604167</v>
      </c>
      <c r="Q124" s="1" t="s">
        <v>144</v>
      </c>
      <c r="R124" s="1" t="s">
        <v>148</v>
      </c>
      <c r="T124">
        <f t="shared" si="1"/>
        <v>-13.996017058771599</v>
      </c>
    </row>
    <row r="125" spans="1:20" x14ac:dyDescent="0.3">
      <c r="A125">
        <v>124</v>
      </c>
      <c r="B125">
        <v>3</v>
      </c>
      <c r="C125">
        <v>1750894431.4790499</v>
      </c>
      <c r="D125">
        <v>1750894492.7525799</v>
      </c>
      <c r="E125">
        <v>61.2735255873542</v>
      </c>
      <c r="F125">
        <v>1750893557</v>
      </c>
      <c r="G125">
        <v>1750893661</v>
      </c>
      <c r="H125">
        <v>103.754</v>
      </c>
      <c r="I125">
        <v>-42.480474412645698</v>
      </c>
      <c r="J125">
        <v>42.480474412645698</v>
      </c>
      <c r="K125">
        <v>51.482895670224998</v>
      </c>
      <c r="L125">
        <v>831.75258350372303</v>
      </c>
      <c r="M125">
        <v>831.75258350372303</v>
      </c>
      <c r="N125" s="2">
        <v>4.7504448983437198E-5</v>
      </c>
      <c r="O125" s="3">
        <v>45833.981845821756</v>
      </c>
      <c r="P125" s="3">
        <v>45833.982555011571</v>
      </c>
      <c r="Q125" s="1" t="s">
        <v>146</v>
      </c>
      <c r="R125" s="1" t="s">
        <v>149</v>
      </c>
      <c r="T125">
        <f t="shared" si="1"/>
        <v>42.480474412645805</v>
      </c>
    </row>
    <row r="126" spans="1:20" x14ac:dyDescent="0.3">
      <c r="A126">
        <v>125</v>
      </c>
      <c r="B126">
        <v>2</v>
      </c>
      <c r="C126">
        <v>1750894437.51717</v>
      </c>
      <c r="D126">
        <v>1750894484.6579599</v>
      </c>
      <c r="E126">
        <v>47.140787926634303</v>
      </c>
      <c r="F126">
        <v>1750893567</v>
      </c>
      <c r="G126">
        <v>1750893634</v>
      </c>
      <c r="H126">
        <v>66.436000000000007</v>
      </c>
      <c r="I126">
        <v>-19.295212073365601</v>
      </c>
      <c r="J126">
        <v>19.295212073365601</v>
      </c>
      <c r="K126">
        <v>33.977386445951403</v>
      </c>
      <c r="L126">
        <v>850.65796136856</v>
      </c>
      <c r="M126">
        <v>850.65796136856</v>
      </c>
      <c r="N126" s="2">
        <v>4.85842051285827E-5</v>
      </c>
      <c r="O126" s="3">
        <v>45833.981915706019</v>
      </c>
      <c r="P126" s="3">
        <v>45833.982461319443</v>
      </c>
      <c r="Q126" s="1" t="s">
        <v>145</v>
      </c>
      <c r="R126" s="1" t="s">
        <v>150</v>
      </c>
      <c r="T126">
        <f t="shared" si="1"/>
        <v>19.295212073365704</v>
      </c>
    </row>
    <row r="127" spans="1:20" x14ac:dyDescent="0.3">
      <c r="A127">
        <v>126</v>
      </c>
      <c r="B127">
        <v>2</v>
      </c>
      <c r="C127">
        <v>1750894484.6579599</v>
      </c>
      <c r="D127">
        <v>1750894556.13674</v>
      </c>
      <c r="E127">
        <v>71.478787089294499</v>
      </c>
      <c r="F127">
        <v>1750893583</v>
      </c>
      <c r="G127">
        <v>1750893626</v>
      </c>
      <c r="H127">
        <v>43.55</v>
      </c>
      <c r="I127">
        <v>27.928787089294499</v>
      </c>
      <c r="J127">
        <v>27.928787089294499</v>
      </c>
      <c r="K127">
        <v>48.559648060296297</v>
      </c>
      <c r="L127">
        <v>930.13674855232205</v>
      </c>
      <c r="M127">
        <v>930.13674855232205</v>
      </c>
      <c r="N127" s="2">
        <v>5.3123530046569698E-5</v>
      </c>
      <c r="O127" s="3">
        <v>45833.982461319443</v>
      </c>
      <c r="P127" s="3">
        <v>45833.983288622687</v>
      </c>
      <c r="Q127" s="1" t="s">
        <v>151</v>
      </c>
      <c r="R127" s="1" t="s">
        <v>152</v>
      </c>
      <c r="T127">
        <f t="shared" si="1"/>
        <v>-27.928787089294502</v>
      </c>
    </row>
    <row r="128" spans="1:20" x14ac:dyDescent="0.3">
      <c r="A128">
        <v>127</v>
      </c>
      <c r="B128">
        <v>1</v>
      </c>
      <c r="C128">
        <v>1750894488.65674</v>
      </c>
      <c r="D128">
        <v>1750894545.5534799</v>
      </c>
      <c r="E128">
        <v>56.896736026852601</v>
      </c>
      <c r="F128">
        <v>1750893608</v>
      </c>
      <c r="G128">
        <v>1750893670</v>
      </c>
      <c r="H128">
        <v>62.719000000000001</v>
      </c>
      <c r="I128">
        <v>-5.82226397314734</v>
      </c>
      <c r="J128">
        <v>5.82226397314734</v>
      </c>
      <c r="K128">
        <v>9.7349465321858606</v>
      </c>
      <c r="L128">
        <v>875.55348086357105</v>
      </c>
      <c r="M128">
        <v>875.55348086357105</v>
      </c>
      <c r="N128" s="2">
        <v>5.00060784358533E-5</v>
      </c>
      <c r="O128" s="3">
        <v>45833.982507604167</v>
      </c>
      <c r="P128" s="3">
        <v>45833.983166122685</v>
      </c>
      <c r="Q128" s="1" t="s">
        <v>148</v>
      </c>
      <c r="R128" s="1" t="s">
        <v>153</v>
      </c>
      <c r="T128">
        <f t="shared" si="1"/>
        <v>5.8222639731474004</v>
      </c>
    </row>
    <row r="129" spans="1:20" x14ac:dyDescent="0.3">
      <c r="A129">
        <v>128</v>
      </c>
      <c r="B129">
        <v>3</v>
      </c>
      <c r="C129">
        <v>1750894492.7525799</v>
      </c>
      <c r="D129">
        <v>1750894550.6022799</v>
      </c>
      <c r="E129">
        <v>57.849700743869398</v>
      </c>
      <c r="F129">
        <v>1750893626</v>
      </c>
      <c r="G129">
        <v>1750893678</v>
      </c>
      <c r="H129">
        <v>52.319000000000003</v>
      </c>
      <c r="I129">
        <v>5.53070074386941</v>
      </c>
      <c r="J129">
        <v>5.53070074386941</v>
      </c>
      <c r="K129">
        <v>10.0404211114873</v>
      </c>
      <c r="L129">
        <v>872.60228419303803</v>
      </c>
      <c r="M129">
        <v>872.60228419303803</v>
      </c>
      <c r="N129" s="2">
        <v>4.9837524557636203E-5</v>
      </c>
      <c r="O129" s="3">
        <v>45833.982555011571</v>
      </c>
      <c r="P129" s="3">
        <v>45833.983224560186</v>
      </c>
      <c r="Q129" s="1" t="s">
        <v>152</v>
      </c>
      <c r="R129" s="1" t="s">
        <v>154</v>
      </c>
      <c r="T129">
        <f t="shared" si="1"/>
        <v>-5.5307007438693958</v>
      </c>
    </row>
    <row r="130" spans="1:20" x14ac:dyDescent="0.3">
      <c r="A130">
        <v>129</v>
      </c>
      <c r="B130">
        <v>1</v>
      </c>
      <c r="C130">
        <v>1750894545.5534799</v>
      </c>
      <c r="D130">
        <v>1750894618.1024699</v>
      </c>
      <c r="E130">
        <v>72.548995360601793</v>
      </c>
      <c r="F130">
        <v>1750893634</v>
      </c>
      <c r="G130">
        <v>1750893682</v>
      </c>
      <c r="H130">
        <v>47.911999999999999</v>
      </c>
      <c r="I130">
        <v>24.636995360601802</v>
      </c>
      <c r="J130">
        <v>24.636995360601802</v>
      </c>
      <c r="K130">
        <v>40.904518988657799</v>
      </c>
      <c r="L130">
        <v>936.102476119995</v>
      </c>
      <c r="M130">
        <v>936.102476119995</v>
      </c>
      <c r="N130" s="2">
        <v>5.3464252884310601E-5</v>
      </c>
      <c r="O130" s="3">
        <v>45833.983166122685</v>
      </c>
      <c r="P130" s="3">
        <v>45833.984005810184</v>
      </c>
      <c r="Q130" s="1" t="s">
        <v>150</v>
      </c>
      <c r="R130" s="1" t="s">
        <v>155</v>
      </c>
      <c r="T130">
        <f t="shared" si="1"/>
        <v>-24.636995360601794</v>
      </c>
    </row>
    <row r="131" spans="1:20" x14ac:dyDescent="0.3">
      <c r="A131">
        <v>130</v>
      </c>
      <c r="B131">
        <v>3</v>
      </c>
      <c r="C131">
        <v>1750894550.6022799</v>
      </c>
      <c r="D131">
        <v>1750894612.48546</v>
      </c>
      <c r="E131">
        <v>61.883181167083798</v>
      </c>
      <c r="F131">
        <v>1750893661</v>
      </c>
      <c r="G131">
        <v>1750893706</v>
      </c>
      <c r="H131">
        <v>45.593000000000004</v>
      </c>
      <c r="I131">
        <v>16.290181167083801</v>
      </c>
      <c r="J131">
        <v>16.290181167083801</v>
      </c>
      <c r="K131">
        <v>30.3140304952944</v>
      </c>
      <c r="L131">
        <v>906.485465288162</v>
      </c>
      <c r="M131">
        <v>906.485465288162</v>
      </c>
      <c r="N131" s="2">
        <v>5.17727162720229E-5</v>
      </c>
      <c r="O131" s="3">
        <v>45833.983224560186</v>
      </c>
      <c r="P131" s="3">
        <v>45833.983940798615</v>
      </c>
      <c r="Q131" s="1" t="s">
        <v>149</v>
      </c>
      <c r="R131" s="1" t="s">
        <v>156</v>
      </c>
      <c r="T131">
        <f t="shared" ref="T131:T194" si="2">H131-E131</f>
        <v>-16.290181167083794</v>
      </c>
    </row>
    <row r="132" spans="1:20" x14ac:dyDescent="0.3">
      <c r="A132">
        <v>131</v>
      </c>
      <c r="B132">
        <v>2</v>
      </c>
      <c r="C132">
        <v>1750894556.13674</v>
      </c>
      <c r="D132">
        <v>1750894631.0643401</v>
      </c>
      <c r="E132">
        <v>74.927597458319397</v>
      </c>
      <c r="F132">
        <v>1750893670</v>
      </c>
      <c r="G132">
        <v>1750893715</v>
      </c>
      <c r="H132">
        <v>44.511000000000003</v>
      </c>
      <c r="I132">
        <v>30.416597458319401</v>
      </c>
      <c r="J132">
        <v>30.416597458319401</v>
      </c>
      <c r="K132">
        <v>50.932609902647101</v>
      </c>
      <c r="L132">
        <v>916.06434607505798</v>
      </c>
      <c r="M132">
        <v>916.06434607505798</v>
      </c>
      <c r="N132" s="2">
        <v>5.2319800944258703E-5</v>
      </c>
      <c r="O132" s="3">
        <v>45833.983288622687</v>
      </c>
      <c r="P132" s="3">
        <v>45833.984155833336</v>
      </c>
      <c r="Q132" s="1" t="s">
        <v>153</v>
      </c>
      <c r="R132" s="1" t="s">
        <v>157</v>
      </c>
      <c r="T132">
        <f t="shared" si="2"/>
        <v>-30.416597458319394</v>
      </c>
    </row>
    <row r="133" spans="1:20" x14ac:dyDescent="0.3">
      <c r="A133">
        <v>132</v>
      </c>
      <c r="B133">
        <v>3</v>
      </c>
      <c r="C133">
        <v>1750894612.48546</v>
      </c>
      <c r="D133">
        <v>1750894675.27665</v>
      </c>
      <c r="E133">
        <v>62.791193259110798</v>
      </c>
      <c r="F133">
        <v>1750893678</v>
      </c>
      <c r="G133">
        <v>1750893739</v>
      </c>
      <c r="H133">
        <v>60.707000000000001</v>
      </c>
      <c r="I133">
        <v>2.0841932591108501</v>
      </c>
      <c r="J133">
        <v>2.0841932591108501</v>
      </c>
      <c r="K133">
        <v>3.37526113396334</v>
      </c>
      <c r="L133">
        <v>936.27665853500298</v>
      </c>
      <c r="M133">
        <v>936.27665853500298</v>
      </c>
      <c r="N133" s="2">
        <v>5.3474199338705803E-5</v>
      </c>
      <c r="O133" s="3">
        <v>45833.983940798615</v>
      </c>
      <c r="P133" s="3">
        <v>45833.984667557874</v>
      </c>
      <c r="Q133" s="1" t="s">
        <v>154</v>
      </c>
      <c r="R133" s="1" t="s">
        <v>158</v>
      </c>
      <c r="T133">
        <f t="shared" si="2"/>
        <v>-2.0841932591107977</v>
      </c>
    </row>
    <row r="134" spans="1:20" x14ac:dyDescent="0.3">
      <c r="A134">
        <v>133</v>
      </c>
      <c r="B134">
        <v>1</v>
      </c>
      <c r="C134">
        <v>1750894618.1024699</v>
      </c>
      <c r="D134">
        <v>1750894692.0395501</v>
      </c>
      <c r="E134">
        <v>73.937081807917295</v>
      </c>
      <c r="F134">
        <v>1750893682</v>
      </c>
      <c r="G134">
        <v>1750893723</v>
      </c>
      <c r="H134">
        <v>41.030999999999999</v>
      </c>
      <c r="I134">
        <v>32.906081807917303</v>
      </c>
      <c r="J134">
        <v>32.906081807917303</v>
      </c>
      <c r="K134">
        <v>57.243856365099802</v>
      </c>
      <c r="L134">
        <v>969.03955793380703</v>
      </c>
      <c r="M134">
        <v>969.03955793380703</v>
      </c>
      <c r="N134" s="2">
        <v>5.5345408864336498E-5</v>
      </c>
      <c r="O134" s="3">
        <v>45833.984005810184</v>
      </c>
      <c r="P134" s="3">
        <v>45833.984861574078</v>
      </c>
      <c r="Q134" s="1" t="s">
        <v>155</v>
      </c>
      <c r="R134" s="1" t="s">
        <v>159</v>
      </c>
      <c r="T134">
        <f t="shared" si="2"/>
        <v>-32.906081807917296</v>
      </c>
    </row>
    <row r="135" spans="1:20" x14ac:dyDescent="0.3">
      <c r="A135">
        <v>134</v>
      </c>
      <c r="B135">
        <v>2</v>
      </c>
      <c r="C135">
        <v>1750894631.0643401</v>
      </c>
      <c r="D135">
        <v>1750894703.6166301</v>
      </c>
      <c r="E135">
        <v>72.552287553133795</v>
      </c>
      <c r="F135">
        <v>1750893706</v>
      </c>
      <c r="G135">
        <v>1750893758</v>
      </c>
      <c r="H135">
        <v>51.667000000000002</v>
      </c>
      <c r="I135">
        <v>20.8852875531338</v>
      </c>
      <c r="J135">
        <v>20.8852875531338</v>
      </c>
      <c r="K135">
        <v>33.626480982996</v>
      </c>
      <c r="L135">
        <v>945.61663365363995</v>
      </c>
      <c r="M135">
        <v>945.61663365363995</v>
      </c>
      <c r="N135" s="2">
        <v>5.4007638897587003E-5</v>
      </c>
      <c r="O135" s="3">
        <v>45833.984155833336</v>
      </c>
      <c r="P135" s="3">
        <v>45833.984995567131</v>
      </c>
      <c r="Q135" s="1" t="s">
        <v>156</v>
      </c>
      <c r="R135" s="1" t="s">
        <v>160</v>
      </c>
      <c r="T135">
        <f t="shared" si="2"/>
        <v>-20.885287553133793</v>
      </c>
    </row>
    <row r="136" spans="1:20" x14ac:dyDescent="0.3">
      <c r="A136">
        <v>135</v>
      </c>
      <c r="B136">
        <v>3</v>
      </c>
      <c r="C136">
        <v>1750894675.27665</v>
      </c>
      <c r="D136">
        <v>1750894738.9279499</v>
      </c>
      <c r="E136">
        <v>63.6512951206292</v>
      </c>
      <c r="F136">
        <v>1750893715</v>
      </c>
      <c r="G136">
        <v>1750893779</v>
      </c>
      <c r="H136">
        <v>64.188000000000002</v>
      </c>
      <c r="I136">
        <v>-0.53670487937077305</v>
      </c>
      <c r="J136">
        <v>0.53670487937077305</v>
      </c>
      <c r="K136">
        <v>0.83965556735014601</v>
      </c>
      <c r="L136">
        <v>959.92795372009198</v>
      </c>
      <c r="M136">
        <v>959.92795372009198</v>
      </c>
      <c r="N136" s="2">
        <v>5.4825010065890102E-5</v>
      </c>
      <c r="O136" s="3">
        <v>45833.984667557874</v>
      </c>
      <c r="P136" s="3">
        <v>45833.985404259256</v>
      </c>
      <c r="Q136" s="1" t="s">
        <v>157</v>
      </c>
      <c r="R136" s="1" t="s">
        <v>161</v>
      </c>
      <c r="T136">
        <f t="shared" si="2"/>
        <v>0.53670487937080225</v>
      </c>
    </row>
    <row r="137" spans="1:20" x14ac:dyDescent="0.3">
      <c r="A137">
        <v>136</v>
      </c>
      <c r="B137">
        <v>1</v>
      </c>
      <c r="C137">
        <v>1750894692.0395501</v>
      </c>
      <c r="D137">
        <v>1750894748.93031</v>
      </c>
      <c r="E137">
        <v>56.890755347814803</v>
      </c>
      <c r="F137">
        <v>1750893723</v>
      </c>
      <c r="G137">
        <v>1750893772</v>
      </c>
      <c r="H137">
        <v>48.601999999999997</v>
      </c>
      <c r="I137">
        <v>8.2887553478148792</v>
      </c>
      <c r="J137">
        <v>8.2887553478148792</v>
      </c>
      <c r="K137">
        <v>15.714359380388601</v>
      </c>
      <c r="L137">
        <v>976.93031334877003</v>
      </c>
      <c r="M137">
        <v>976.93031334877003</v>
      </c>
      <c r="N137" s="2">
        <v>5.5796077205098101E-5</v>
      </c>
      <c r="O137" s="3">
        <v>45833.984861574078</v>
      </c>
      <c r="P137" s="3">
        <v>45833.985520023147</v>
      </c>
      <c r="Q137" s="1" t="s">
        <v>159</v>
      </c>
      <c r="R137" s="1" t="s">
        <v>162</v>
      </c>
      <c r="T137">
        <f t="shared" si="2"/>
        <v>-8.2887553478148064</v>
      </c>
    </row>
    <row r="138" spans="1:20" x14ac:dyDescent="0.3">
      <c r="A138">
        <v>137</v>
      </c>
      <c r="B138">
        <v>2</v>
      </c>
      <c r="C138">
        <v>1750894703.6166301</v>
      </c>
      <c r="D138">
        <v>1750894782.55621</v>
      </c>
      <c r="E138">
        <v>78.939578610813101</v>
      </c>
      <c r="F138">
        <v>1750893739</v>
      </c>
      <c r="G138">
        <v>1750893822</v>
      </c>
      <c r="H138">
        <v>83.385000000000005</v>
      </c>
      <c r="I138">
        <v>-4.4454213891868903</v>
      </c>
      <c r="J138">
        <v>4.4454213891868903</v>
      </c>
      <c r="K138">
        <v>5.4772005906082297</v>
      </c>
      <c r="L138">
        <v>960.55621218681301</v>
      </c>
      <c r="M138">
        <v>960.55621218681301</v>
      </c>
      <c r="N138" s="2">
        <v>5.4860890856576699E-5</v>
      </c>
      <c r="O138" s="3">
        <v>45833.984995567131</v>
      </c>
      <c r="P138" s="3">
        <v>45833.985909212963</v>
      </c>
      <c r="Q138" s="1" t="s">
        <v>158</v>
      </c>
      <c r="R138" s="1" t="s">
        <v>163</v>
      </c>
      <c r="T138">
        <f t="shared" si="2"/>
        <v>4.4454213891869045</v>
      </c>
    </row>
    <row r="139" spans="1:20" x14ac:dyDescent="0.3">
      <c r="A139">
        <v>138</v>
      </c>
      <c r="B139">
        <v>3</v>
      </c>
      <c r="C139">
        <v>1750894738.9279499</v>
      </c>
      <c r="D139">
        <v>1750894812.0299399</v>
      </c>
      <c r="E139">
        <v>73.101993339723805</v>
      </c>
      <c r="F139">
        <v>1750893758</v>
      </c>
      <c r="G139">
        <v>1750893830</v>
      </c>
      <c r="H139">
        <v>71.817999999999998</v>
      </c>
      <c r="I139">
        <v>1.2839933397238701</v>
      </c>
      <c r="J139">
        <v>1.2839933397238701</v>
      </c>
      <c r="K139">
        <v>1.77200303441074</v>
      </c>
      <c r="L139">
        <v>982.02994704246498</v>
      </c>
      <c r="M139">
        <v>982.02994704246498</v>
      </c>
      <c r="N139" s="2">
        <v>5.6087334070122097E-5</v>
      </c>
      <c r="O139" s="3">
        <v>45833.985404259256</v>
      </c>
      <c r="P139" s="3">
        <v>45833.986250347225</v>
      </c>
      <c r="Q139" s="1" t="s">
        <v>160</v>
      </c>
      <c r="R139" s="1" t="s">
        <v>164</v>
      </c>
      <c r="T139">
        <f t="shared" si="2"/>
        <v>-1.283993339723807</v>
      </c>
    </row>
    <row r="140" spans="1:20" x14ac:dyDescent="0.3">
      <c r="A140">
        <v>139</v>
      </c>
      <c r="B140">
        <v>1</v>
      </c>
      <c r="C140">
        <v>1750894748.93031</v>
      </c>
      <c r="D140">
        <v>1750894811.8190899</v>
      </c>
      <c r="E140">
        <v>62.8887846373364</v>
      </c>
      <c r="F140">
        <v>1750893772</v>
      </c>
      <c r="G140">
        <v>1750893809</v>
      </c>
      <c r="H140">
        <v>37.149000000000001</v>
      </c>
      <c r="I140">
        <v>25.739784637336399</v>
      </c>
      <c r="J140">
        <v>25.739784637336399</v>
      </c>
      <c r="K140">
        <v>51.4601252529731</v>
      </c>
      <c r="L140">
        <v>1002.81909799575</v>
      </c>
      <c r="M140">
        <v>1002.81909799575</v>
      </c>
      <c r="N140" s="2">
        <v>5.7274679118763599E-5</v>
      </c>
      <c r="O140" s="3">
        <v>45833.985520023147</v>
      </c>
      <c r="P140" s="3">
        <v>45833.986247905093</v>
      </c>
      <c r="Q140" s="1" t="s">
        <v>162</v>
      </c>
      <c r="R140" s="1" t="s">
        <v>165</v>
      </c>
      <c r="T140">
        <f t="shared" si="2"/>
        <v>-25.739784637336399</v>
      </c>
    </row>
    <row r="141" spans="1:20" x14ac:dyDescent="0.3">
      <c r="A141">
        <v>140</v>
      </c>
      <c r="B141">
        <v>2</v>
      </c>
      <c r="C141">
        <v>1750894782.55621</v>
      </c>
      <c r="D141">
        <v>1750894821.5073199</v>
      </c>
      <c r="E141">
        <v>38.951113737429701</v>
      </c>
      <c r="F141">
        <v>1750893779</v>
      </c>
      <c r="G141">
        <v>1750893840</v>
      </c>
      <c r="H141">
        <v>61.27</v>
      </c>
      <c r="I141">
        <v>-22.318886262570199</v>
      </c>
      <c r="J141">
        <v>22.318886262570199</v>
      </c>
      <c r="K141">
        <v>44.539290036316601</v>
      </c>
      <c r="L141">
        <v>981.50732588768005</v>
      </c>
      <c r="M141">
        <v>981.50732588768005</v>
      </c>
      <c r="N141" s="2">
        <v>5.6057484946290002E-5</v>
      </c>
      <c r="O141" s="3">
        <v>45833.985909212963</v>
      </c>
      <c r="P141" s="3">
        <v>45833.986360034723</v>
      </c>
      <c r="Q141" s="1" t="s">
        <v>161</v>
      </c>
      <c r="R141" s="1" t="s">
        <v>166</v>
      </c>
      <c r="T141">
        <f t="shared" si="2"/>
        <v>22.318886262570302</v>
      </c>
    </row>
    <row r="142" spans="1:20" x14ac:dyDescent="0.3">
      <c r="A142">
        <v>141</v>
      </c>
      <c r="B142">
        <v>1</v>
      </c>
      <c r="C142">
        <v>1750894811.8190899</v>
      </c>
      <c r="D142">
        <v>1750894868.35729</v>
      </c>
      <c r="E142">
        <v>56.538197725162902</v>
      </c>
      <c r="F142">
        <v>1750893809</v>
      </c>
      <c r="G142">
        <v>1750893859</v>
      </c>
      <c r="H142">
        <v>50.631999999999998</v>
      </c>
      <c r="I142">
        <v>5.9061977251629703</v>
      </c>
      <c r="J142">
        <v>5.9061977251629703</v>
      </c>
      <c r="K142">
        <v>11.022089817001801</v>
      </c>
      <c r="L142">
        <v>1009.3572957515699</v>
      </c>
      <c r="M142">
        <v>1009.3572957515699</v>
      </c>
      <c r="N142" s="2">
        <v>5.7648097834463303E-5</v>
      </c>
      <c r="O142" s="3">
        <v>45833.986247905093</v>
      </c>
      <c r="P142" s="3">
        <v>45833.986902280092</v>
      </c>
      <c r="Q142" s="1" t="s">
        <v>165</v>
      </c>
      <c r="R142" s="1" t="s">
        <v>167</v>
      </c>
      <c r="T142">
        <f t="shared" si="2"/>
        <v>-5.9061977251629045</v>
      </c>
    </row>
    <row r="143" spans="1:20" x14ac:dyDescent="0.3">
      <c r="A143">
        <v>142</v>
      </c>
      <c r="B143">
        <v>3</v>
      </c>
      <c r="C143">
        <v>1750894812.0299399</v>
      </c>
      <c r="D143">
        <v>1750894879.24054</v>
      </c>
      <c r="E143">
        <v>67.210599866770806</v>
      </c>
      <c r="F143">
        <v>1750893822</v>
      </c>
      <c r="G143">
        <v>1750893895</v>
      </c>
      <c r="H143">
        <v>72.397000000000006</v>
      </c>
      <c r="I143">
        <v>-5.1864001332291103</v>
      </c>
      <c r="J143">
        <v>5.1864001332291103</v>
      </c>
      <c r="K143">
        <v>7.4299681939644397</v>
      </c>
      <c r="L143">
        <v>984.24054694175697</v>
      </c>
      <c r="M143">
        <v>984.24054694175697</v>
      </c>
      <c r="N143" s="2">
        <v>5.6213587420344299E-5</v>
      </c>
      <c r="O143" s="3">
        <v>45833.986250347225</v>
      </c>
      <c r="P143" s="3">
        <v>45833.987028252312</v>
      </c>
      <c r="Q143" s="1" t="s">
        <v>163</v>
      </c>
      <c r="R143" s="1" t="s">
        <v>168</v>
      </c>
      <c r="T143">
        <f t="shared" si="2"/>
        <v>5.1864001332291991</v>
      </c>
    </row>
    <row r="144" spans="1:20" x14ac:dyDescent="0.3">
      <c r="A144">
        <v>143</v>
      </c>
      <c r="B144">
        <v>2</v>
      </c>
      <c r="C144">
        <v>1750894821.5073199</v>
      </c>
      <c r="D144">
        <v>1750894889.5094399</v>
      </c>
      <c r="E144">
        <v>68.002117490249901</v>
      </c>
      <c r="F144">
        <v>1750893830</v>
      </c>
      <c r="G144">
        <v>1750893910</v>
      </c>
      <c r="H144">
        <v>79.918000000000006</v>
      </c>
      <c r="I144">
        <v>-11.91588250975</v>
      </c>
      <c r="J144">
        <v>11.91588250975</v>
      </c>
      <c r="K144">
        <v>16.111239920473199</v>
      </c>
      <c r="L144">
        <v>979.50944328308105</v>
      </c>
      <c r="M144">
        <v>979.50944328308105</v>
      </c>
      <c r="N144" s="2">
        <v>5.5943376334991798E-5</v>
      </c>
      <c r="O144" s="3">
        <v>45833.986360034723</v>
      </c>
      <c r="P144" s="3">
        <v>45833.987147094907</v>
      </c>
      <c r="Q144" s="1" t="s">
        <v>164</v>
      </c>
      <c r="R144" s="1" t="s">
        <v>169</v>
      </c>
      <c r="T144">
        <f t="shared" si="2"/>
        <v>11.915882509750105</v>
      </c>
    </row>
    <row r="145" spans="1:20" x14ac:dyDescent="0.3">
      <c r="A145">
        <v>144</v>
      </c>
      <c r="B145">
        <v>1</v>
      </c>
      <c r="C145">
        <v>1750894868.35729</v>
      </c>
      <c r="D145">
        <v>1750894928.7834401</v>
      </c>
      <c r="E145">
        <v>60.426149780451603</v>
      </c>
      <c r="F145">
        <v>1750893840</v>
      </c>
      <c r="G145">
        <v>1750893901</v>
      </c>
      <c r="H145">
        <v>60.670999999999999</v>
      </c>
      <c r="I145">
        <v>-0.24485021954834699</v>
      </c>
      <c r="J145">
        <v>0.24485021954834699</v>
      </c>
      <c r="K145">
        <v>0.40438642856955498</v>
      </c>
      <c r="L145">
        <v>1027.7834455966899</v>
      </c>
      <c r="M145">
        <v>1027.7834455966899</v>
      </c>
      <c r="N145" s="2">
        <v>5.87004811286838E-5</v>
      </c>
      <c r="O145" s="3">
        <v>45833.986902280092</v>
      </c>
      <c r="P145" s="3">
        <v>45833.987601655092</v>
      </c>
      <c r="Q145" s="1" t="s">
        <v>166</v>
      </c>
      <c r="R145" s="1" t="s">
        <v>170</v>
      </c>
      <c r="T145">
        <f t="shared" si="2"/>
        <v>0.24485021954839681</v>
      </c>
    </row>
    <row r="146" spans="1:20" x14ac:dyDescent="0.3">
      <c r="A146">
        <v>145</v>
      </c>
      <c r="B146">
        <v>3</v>
      </c>
      <c r="C146">
        <v>1750894879.24054</v>
      </c>
      <c r="D146">
        <v>1750894943.6410601</v>
      </c>
      <c r="E146">
        <v>64.400522068419903</v>
      </c>
      <c r="F146">
        <v>1750893859</v>
      </c>
      <c r="G146">
        <v>1750893937</v>
      </c>
      <c r="H146">
        <v>77.620999999999995</v>
      </c>
      <c r="I146">
        <v>-13.22047793158</v>
      </c>
      <c r="J146">
        <v>13.22047793158</v>
      </c>
      <c r="K146">
        <v>18.617569702162299</v>
      </c>
      <c r="L146">
        <v>1006.64106893539</v>
      </c>
      <c r="M146">
        <v>1006.64106893539</v>
      </c>
      <c r="N146" s="2">
        <v>5.7492961640286503E-5</v>
      </c>
      <c r="O146" s="3">
        <v>45833.987028252312</v>
      </c>
      <c r="P146" s="3">
        <v>45833.987773622684</v>
      </c>
      <c r="Q146" s="1" t="s">
        <v>167</v>
      </c>
      <c r="R146" s="1" t="s">
        <v>171</v>
      </c>
      <c r="T146">
        <f t="shared" si="2"/>
        <v>13.220477931580092</v>
      </c>
    </row>
    <row r="147" spans="1:20" x14ac:dyDescent="0.3">
      <c r="A147">
        <v>146</v>
      </c>
      <c r="B147">
        <v>2</v>
      </c>
      <c r="C147">
        <v>1750894889.5094399</v>
      </c>
      <c r="D147">
        <v>1750894948.14239</v>
      </c>
      <c r="E147">
        <v>58.632951509819101</v>
      </c>
      <c r="F147">
        <v>1750893895</v>
      </c>
      <c r="G147">
        <v>1750893952</v>
      </c>
      <c r="H147">
        <v>56.975000000000001</v>
      </c>
      <c r="I147">
        <v>1.6579515098191899</v>
      </c>
      <c r="J147">
        <v>1.6579515098191899</v>
      </c>
      <c r="K147">
        <v>2.8682309273136299</v>
      </c>
      <c r="L147">
        <v>996.14239478111199</v>
      </c>
      <c r="M147">
        <v>996.14239478111199</v>
      </c>
      <c r="N147" s="2">
        <v>5.6893343555952498E-5</v>
      </c>
      <c r="O147" s="3">
        <v>45833.987147094907</v>
      </c>
      <c r="P147" s="3">
        <v>45833.987825717595</v>
      </c>
      <c r="Q147" s="1" t="s">
        <v>168</v>
      </c>
      <c r="R147" s="1" t="s">
        <v>172</v>
      </c>
      <c r="T147">
        <f t="shared" si="2"/>
        <v>-1.6579515098190996</v>
      </c>
    </row>
    <row r="148" spans="1:20" x14ac:dyDescent="0.3">
      <c r="A148">
        <v>147</v>
      </c>
      <c r="B148">
        <v>1</v>
      </c>
      <c r="C148">
        <v>1750894928.7834401</v>
      </c>
      <c r="D148">
        <v>1750895001.63256</v>
      </c>
      <c r="E148">
        <v>72.849123862941795</v>
      </c>
      <c r="F148">
        <v>1750893901</v>
      </c>
      <c r="G148">
        <v>1750893988</v>
      </c>
      <c r="H148">
        <v>87.427999999999997</v>
      </c>
      <c r="I148">
        <v>-14.578876137058099</v>
      </c>
      <c r="J148">
        <v>14.578876137058099</v>
      </c>
      <c r="K148">
        <v>18.192086039084302</v>
      </c>
      <c r="L148">
        <v>1013.6325695514601</v>
      </c>
      <c r="M148">
        <v>1013.6325695514601</v>
      </c>
      <c r="N148" s="2">
        <v>5.7892270068381498E-5</v>
      </c>
      <c r="O148" s="3">
        <v>45833.987601655092</v>
      </c>
      <c r="P148" s="3">
        <v>45833.988444826391</v>
      </c>
      <c r="Q148" s="1" t="s">
        <v>170</v>
      </c>
      <c r="R148" s="1" t="s">
        <v>173</v>
      </c>
      <c r="T148">
        <f t="shared" si="2"/>
        <v>14.578876137058202</v>
      </c>
    </row>
    <row r="149" spans="1:20" x14ac:dyDescent="0.3">
      <c r="A149">
        <v>148</v>
      </c>
      <c r="B149">
        <v>3</v>
      </c>
      <c r="C149">
        <v>1750894943.6410601</v>
      </c>
      <c r="D149">
        <v>1750895091.75719</v>
      </c>
      <c r="E149">
        <v>148.116130197568</v>
      </c>
      <c r="F149">
        <v>1750893909</v>
      </c>
      <c r="G149">
        <v>1750894032</v>
      </c>
      <c r="H149">
        <v>122.491</v>
      </c>
      <c r="I149">
        <v>25.625130197568801</v>
      </c>
      <c r="J149">
        <v>25.625130197568801</v>
      </c>
      <c r="K149">
        <v>18.938991133648301</v>
      </c>
      <c r="L149">
        <v>1059.7571990489901</v>
      </c>
      <c r="M149">
        <v>1059.7571990489901</v>
      </c>
      <c r="N149" s="2">
        <v>6.0526614344609197E-5</v>
      </c>
      <c r="O149" s="3">
        <v>45833.987773622684</v>
      </c>
      <c r="P149" s="3">
        <v>45833.989487928244</v>
      </c>
      <c r="Q149" s="1" t="s">
        <v>174</v>
      </c>
      <c r="R149" s="1" t="s">
        <v>175</v>
      </c>
      <c r="T149">
        <f t="shared" si="2"/>
        <v>-25.625130197567998</v>
      </c>
    </row>
    <row r="150" spans="1:20" x14ac:dyDescent="0.3">
      <c r="A150">
        <v>149</v>
      </c>
      <c r="B150">
        <v>2</v>
      </c>
      <c r="C150">
        <v>1750894948.14239</v>
      </c>
      <c r="D150">
        <v>1750895093.0466101</v>
      </c>
      <c r="E150">
        <v>144.90422451600199</v>
      </c>
      <c r="F150">
        <v>1750893937</v>
      </c>
      <c r="G150">
        <v>1750894047</v>
      </c>
      <c r="H150">
        <v>109.916</v>
      </c>
      <c r="I150">
        <v>34.988224516002902</v>
      </c>
      <c r="J150">
        <v>34.988224516002902</v>
      </c>
      <c r="K150">
        <v>27.461104849474498</v>
      </c>
      <c r="L150">
        <v>1046.04661941528</v>
      </c>
      <c r="M150">
        <v>1046.04661941528</v>
      </c>
      <c r="N150" s="2">
        <v>5.97435526572771E-5</v>
      </c>
      <c r="O150" s="3">
        <v>45833.987825717595</v>
      </c>
      <c r="P150" s="3">
        <v>45833.9895028588</v>
      </c>
      <c r="Q150" s="1" t="s">
        <v>171</v>
      </c>
      <c r="R150" s="1" t="s">
        <v>176</v>
      </c>
      <c r="T150">
        <f t="shared" si="2"/>
        <v>-34.988224516001992</v>
      </c>
    </row>
    <row r="151" spans="1:20" x14ac:dyDescent="0.3">
      <c r="A151">
        <v>150</v>
      </c>
      <c r="B151">
        <v>1</v>
      </c>
      <c r="C151">
        <v>1750895001.63256</v>
      </c>
      <c r="D151">
        <v>1750895165.1537399</v>
      </c>
      <c r="E151">
        <v>163.521178127772</v>
      </c>
      <c r="F151">
        <v>1750893952</v>
      </c>
      <c r="G151">
        <v>1750894081</v>
      </c>
      <c r="H151">
        <v>129.56100000000001</v>
      </c>
      <c r="I151">
        <v>33.960178127772203</v>
      </c>
      <c r="J151">
        <v>33.960178127772203</v>
      </c>
      <c r="K151">
        <v>23.174509173305601</v>
      </c>
      <c r="L151">
        <v>1084.1537477970101</v>
      </c>
      <c r="M151">
        <v>1084.1537477970101</v>
      </c>
      <c r="N151" s="2">
        <v>6.1919988416653607E-5</v>
      </c>
      <c r="O151" s="3">
        <v>45833.988444826391</v>
      </c>
      <c r="P151" s="3">
        <v>45833.990337430558</v>
      </c>
      <c r="Q151" s="1" t="s">
        <v>172</v>
      </c>
      <c r="R151" s="1" t="s">
        <v>177</v>
      </c>
      <c r="T151">
        <f t="shared" si="2"/>
        <v>-33.960178127771997</v>
      </c>
    </row>
    <row r="152" spans="1:20" x14ac:dyDescent="0.3">
      <c r="A152">
        <v>151</v>
      </c>
      <c r="B152">
        <v>3</v>
      </c>
      <c r="C152">
        <v>1750895091.75719</v>
      </c>
      <c r="D152">
        <v>1750895234.6526401</v>
      </c>
      <c r="E152">
        <v>142.895445849455</v>
      </c>
      <c r="F152">
        <v>1750893988</v>
      </c>
      <c r="G152">
        <v>1750894110</v>
      </c>
      <c r="H152">
        <v>121.792</v>
      </c>
      <c r="I152">
        <v>21.103445849455898</v>
      </c>
      <c r="J152">
        <v>21.103445849455898</v>
      </c>
      <c r="K152">
        <v>15.945936371654501</v>
      </c>
      <c r="L152">
        <v>1124.6526448726599</v>
      </c>
      <c r="M152">
        <v>1124.6526448726599</v>
      </c>
      <c r="N152" s="2">
        <v>6.4233026843265098E-5</v>
      </c>
      <c r="O152" s="3">
        <v>45833.989487928244</v>
      </c>
      <c r="P152" s="3">
        <v>45833.991141817132</v>
      </c>
      <c r="Q152" s="1" t="s">
        <v>173</v>
      </c>
      <c r="R152" s="1" t="s">
        <v>178</v>
      </c>
      <c r="T152">
        <f t="shared" si="2"/>
        <v>-21.103445849454999</v>
      </c>
    </row>
    <row r="153" spans="1:20" x14ac:dyDescent="0.3">
      <c r="A153">
        <v>152</v>
      </c>
      <c r="B153">
        <v>2</v>
      </c>
      <c r="C153">
        <v>1750895093.0466101</v>
      </c>
      <c r="D153">
        <v>1750895257.8877201</v>
      </c>
      <c r="E153">
        <v>164.84110635994901</v>
      </c>
      <c r="F153">
        <v>1750894032</v>
      </c>
      <c r="G153">
        <v>1750894144</v>
      </c>
      <c r="H153">
        <v>111.925</v>
      </c>
      <c r="I153">
        <v>52.916106359949403</v>
      </c>
      <c r="J153">
        <v>52.916106359949403</v>
      </c>
      <c r="K153">
        <v>38.238863172883697</v>
      </c>
      <c r="L153">
        <v>1113.8877258300699</v>
      </c>
      <c r="M153">
        <v>1113.8877258300699</v>
      </c>
      <c r="N153" s="2">
        <v>6.3618201895842695E-5</v>
      </c>
      <c r="O153" s="3">
        <v>45833.9895028588</v>
      </c>
      <c r="P153" s="3">
        <v>45833.991410740739</v>
      </c>
      <c r="Q153" s="1" t="s">
        <v>175</v>
      </c>
      <c r="R153" s="1" t="s">
        <v>179</v>
      </c>
      <c r="T153">
        <f t="shared" si="2"/>
        <v>-52.916106359949012</v>
      </c>
    </row>
    <row r="154" spans="1:20" x14ac:dyDescent="0.3">
      <c r="A154">
        <v>153</v>
      </c>
      <c r="B154">
        <v>1</v>
      </c>
      <c r="C154">
        <v>1750895165.1537399</v>
      </c>
      <c r="D154">
        <v>1750895285.5079601</v>
      </c>
      <c r="E154">
        <v>120.354215763143</v>
      </c>
      <c r="F154">
        <v>1750894047</v>
      </c>
      <c r="G154">
        <v>1750894179</v>
      </c>
      <c r="H154">
        <v>132.274</v>
      </c>
      <c r="I154">
        <v>-11.9197842368567</v>
      </c>
      <c r="J154">
        <v>11.9197842368567</v>
      </c>
      <c r="K154">
        <v>9.4366214801852699</v>
      </c>
      <c r="L154">
        <v>1106.5079636573701</v>
      </c>
      <c r="M154">
        <v>1106.5079636573701</v>
      </c>
      <c r="N154" s="2">
        <v>6.3196715557704394E-5</v>
      </c>
      <c r="O154" s="3">
        <v>45833.990337430558</v>
      </c>
      <c r="P154" s="3">
        <v>45833.991730416667</v>
      </c>
      <c r="Q154" s="1" t="s">
        <v>176</v>
      </c>
      <c r="R154" s="1" t="s">
        <v>180</v>
      </c>
      <c r="T154">
        <f t="shared" si="2"/>
        <v>11.919784236856998</v>
      </c>
    </row>
    <row r="155" spans="1:20" x14ac:dyDescent="0.3">
      <c r="A155">
        <v>154</v>
      </c>
      <c r="B155">
        <v>3</v>
      </c>
      <c r="C155">
        <v>1750895234.6526401</v>
      </c>
      <c r="D155">
        <v>1750895412.7999699</v>
      </c>
      <c r="E155">
        <v>178.147327770457</v>
      </c>
      <c r="F155">
        <v>1750894081</v>
      </c>
      <c r="G155">
        <v>1750894201</v>
      </c>
      <c r="H155">
        <v>120.39700000000001</v>
      </c>
      <c r="I155">
        <v>57.750327770457702</v>
      </c>
      <c r="J155">
        <v>57.750327770457702</v>
      </c>
      <c r="K155">
        <v>38.6879417215793</v>
      </c>
      <c r="L155">
        <v>1211.7999725341699</v>
      </c>
      <c r="M155">
        <v>1211.7999725341699</v>
      </c>
      <c r="N155" s="2">
        <v>6.9210324215862406E-5</v>
      </c>
      <c r="O155" s="3">
        <v>45833.991141817132</v>
      </c>
      <c r="P155" s="3">
        <v>45833.993203703707</v>
      </c>
      <c r="Q155" s="1" t="s">
        <v>177</v>
      </c>
      <c r="R155" s="1" t="s">
        <v>181</v>
      </c>
      <c r="T155">
        <f t="shared" si="2"/>
        <v>-57.750327770456991</v>
      </c>
    </row>
    <row r="156" spans="1:20" x14ac:dyDescent="0.3">
      <c r="A156">
        <v>155</v>
      </c>
      <c r="B156">
        <v>2</v>
      </c>
      <c r="C156">
        <v>1750895257.8877201</v>
      </c>
      <c r="D156">
        <v>1750895458.1138799</v>
      </c>
      <c r="E156">
        <v>200.22615789417901</v>
      </c>
      <c r="F156">
        <v>1750894110</v>
      </c>
      <c r="G156">
        <v>1750894257</v>
      </c>
      <c r="H156">
        <v>146.41900000000001</v>
      </c>
      <c r="I156">
        <v>53.807157894179497</v>
      </c>
      <c r="J156">
        <v>53.807157894179497</v>
      </c>
      <c r="K156">
        <v>31.044517235463701</v>
      </c>
      <c r="L156">
        <v>1201.1138837337401</v>
      </c>
      <c r="M156">
        <v>1201.1138837337401</v>
      </c>
      <c r="N156" s="2">
        <v>6.8600000653933397E-5</v>
      </c>
      <c r="O156" s="3">
        <v>45833.991410740739</v>
      </c>
      <c r="P156" s="3">
        <v>45833.993728171299</v>
      </c>
      <c r="Q156" s="1" t="s">
        <v>178</v>
      </c>
      <c r="R156" s="1" t="s">
        <v>182</v>
      </c>
      <c r="T156">
        <f t="shared" si="2"/>
        <v>-53.807157894178999</v>
      </c>
    </row>
    <row r="157" spans="1:20" x14ac:dyDescent="0.3">
      <c r="A157">
        <v>156</v>
      </c>
      <c r="B157">
        <v>1</v>
      </c>
      <c r="C157">
        <v>1750895285.5079601</v>
      </c>
      <c r="D157">
        <v>1750895471.09284</v>
      </c>
      <c r="E157">
        <v>185.58488479728899</v>
      </c>
      <c r="F157">
        <v>1750894144</v>
      </c>
      <c r="G157">
        <v>1750894262</v>
      </c>
      <c r="H157">
        <v>118.611</v>
      </c>
      <c r="I157">
        <v>66.973884797289202</v>
      </c>
      <c r="J157">
        <v>66.973884797289202</v>
      </c>
      <c r="K157">
        <v>44.033393049954903</v>
      </c>
      <c r="L157">
        <v>1209.0928485393499</v>
      </c>
      <c r="M157">
        <v>1209.0928485393499</v>
      </c>
      <c r="N157" s="2">
        <v>6.9055708120513393E-5</v>
      </c>
      <c r="O157" s="3">
        <v>45833.991730416667</v>
      </c>
      <c r="P157" s="3">
        <v>45833.9938783912</v>
      </c>
      <c r="Q157" s="1" t="s">
        <v>179</v>
      </c>
      <c r="R157" s="1" t="s">
        <v>183</v>
      </c>
      <c r="T157">
        <f t="shared" si="2"/>
        <v>-66.973884797288989</v>
      </c>
    </row>
    <row r="158" spans="1:20" x14ac:dyDescent="0.3">
      <c r="A158">
        <v>157</v>
      </c>
      <c r="B158">
        <v>3</v>
      </c>
      <c r="C158">
        <v>1750895412.7999699</v>
      </c>
      <c r="D158">
        <v>1750895616.37779</v>
      </c>
      <c r="E158">
        <v>203.577825100665</v>
      </c>
      <c r="F158">
        <v>1750894179</v>
      </c>
      <c r="G158">
        <v>1750894306</v>
      </c>
      <c r="H158">
        <v>126.61199999999999</v>
      </c>
      <c r="I158">
        <v>76.965825100665597</v>
      </c>
      <c r="J158">
        <v>76.965825100665597</v>
      </c>
      <c r="K158">
        <v>46.6191379926385</v>
      </c>
      <c r="L158">
        <v>1310.3777976035999</v>
      </c>
      <c r="M158">
        <v>1310.3777976035999</v>
      </c>
      <c r="N158" s="2">
        <v>7.4840457403214502E-5</v>
      </c>
      <c r="O158" s="3">
        <v>45833.993203703707</v>
      </c>
      <c r="P158" s="3">
        <v>45833.995559930554</v>
      </c>
      <c r="Q158" s="1" t="s">
        <v>180</v>
      </c>
      <c r="R158" s="1" t="s">
        <v>184</v>
      </c>
      <c r="T158">
        <f t="shared" si="2"/>
        <v>-76.965825100665</v>
      </c>
    </row>
    <row r="159" spans="1:20" x14ac:dyDescent="0.3">
      <c r="A159">
        <v>158</v>
      </c>
      <c r="B159">
        <v>2</v>
      </c>
      <c r="C159">
        <v>1750895458.1138799</v>
      </c>
      <c r="D159">
        <v>1750895624.6110499</v>
      </c>
      <c r="E159">
        <v>166.49716677208099</v>
      </c>
      <c r="F159">
        <v>1750894201</v>
      </c>
      <c r="G159">
        <v>1750894335</v>
      </c>
      <c r="H159">
        <v>133.58099999999999</v>
      </c>
      <c r="I159">
        <v>32.916166772081603</v>
      </c>
      <c r="J159">
        <v>32.916166772081603</v>
      </c>
      <c r="K159">
        <v>21.938395002980901</v>
      </c>
      <c r="L159">
        <v>1289.6110506057701</v>
      </c>
      <c r="M159">
        <v>1289.6110506057701</v>
      </c>
      <c r="N159" s="2">
        <v>7.3654391924123997E-5</v>
      </c>
      <c r="O159" s="3">
        <v>45833.993728171299</v>
      </c>
      <c r="P159" s="3">
        <v>45833.995655219907</v>
      </c>
      <c r="Q159" s="1" t="s">
        <v>181</v>
      </c>
      <c r="R159" s="1" t="s">
        <v>185</v>
      </c>
      <c r="T159">
        <f t="shared" si="2"/>
        <v>-32.916166772080999</v>
      </c>
    </row>
    <row r="160" spans="1:20" x14ac:dyDescent="0.3">
      <c r="A160">
        <v>159</v>
      </c>
      <c r="B160">
        <v>1</v>
      </c>
      <c r="C160">
        <v>1750895471.09284</v>
      </c>
      <c r="D160">
        <v>1750895641.6373999</v>
      </c>
      <c r="E160">
        <v>170.54455958904501</v>
      </c>
      <c r="F160">
        <v>1750894257</v>
      </c>
      <c r="G160">
        <v>1750894368</v>
      </c>
      <c r="H160">
        <v>111.568</v>
      </c>
      <c r="I160">
        <v>58.976559589045401</v>
      </c>
      <c r="J160">
        <v>58.976559589045401</v>
      </c>
      <c r="K160">
        <v>41.8106586072997</v>
      </c>
      <c r="L160">
        <v>1273.6374080181099</v>
      </c>
      <c r="M160">
        <v>1273.6374080181099</v>
      </c>
      <c r="N160" s="2">
        <v>7.2742077880905801E-5</v>
      </c>
      <c r="O160" s="3">
        <v>45833.9938783912</v>
      </c>
      <c r="P160" s="3">
        <v>45833.995852280095</v>
      </c>
      <c r="Q160" s="1" t="s">
        <v>182</v>
      </c>
      <c r="R160" s="1" t="s">
        <v>186</v>
      </c>
      <c r="T160">
        <f t="shared" si="2"/>
        <v>-58.97655958904501</v>
      </c>
    </row>
    <row r="161" spans="1:20" x14ac:dyDescent="0.3">
      <c r="A161">
        <v>160</v>
      </c>
      <c r="B161">
        <v>3</v>
      </c>
      <c r="C161">
        <v>1750895616.37779</v>
      </c>
      <c r="D161">
        <v>1750895770.4767699</v>
      </c>
      <c r="E161">
        <v>154.09898018522199</v>
      </c>
      <c r="F161">
        <v>1750894262</v>
      </c>
      <c r="G161">
        <v>1750894379</v>
      </c>
      <c r="H161">
        <v>116.76300000000001</v>
      </c>
      <c r="I161">
        <v>37.335980185222802</v>
      </c>
      <c r="J161">
        <v>37.335980185222802</v>
      </c>
      <c r="K161">
        <v>27.568269389222799</v>
      </c>
      <c r="L161">
        <v>1391.4767777919701</v>
      </c>
      <c r="M161">
        <v>1391.4767777919701</v>
      </c>
      <c r="N161" s="2">
        <v>7.9472310926449098E-5</v>
      </c>
      <c r="O161" s="3">
        <v>45833.995559930554</v>
      </c>
      <c r="P161" s="3">
        <v>45833.997343483796</v>
      </c>
      <c r="Q161" s="1" t="s">
        <v>183</v>
      </c>
      <c r="R161" s="1" t="s">
        <v>187</v>
      </c>
      <c r="T161">
        <f t="shared" si="2"/>
        <v>-37.335980185221985</v>
      </c>
    </row>
    <row r="162" spans="1:20" x14ac:dyDescent="0.3">
      <c r="A162">
        <v>161</v>
      </c>
      <c r="B162">
        <v>2</v>
      </c>
      <c r="C162">
        <v>1750895624.6110499</v>
      </c>
      <c r="D162">
        <v>1750895783.12308</v>
      </c>
      <c r="E162">
        <v>158.51203790424799</v>
      </c>
      <c r="F162">
        <v>1750894306</v>
      </c>
      <c r="G162">
        <v>1750894443</v>
      </c>
      <c r="H162">
        <v>137.821</v>
      </c>
      <c r="I162">
        <v>20.691037904248901</v>
      </c>
      <c r="J162">
        <v>20.691037904248901</v>
      </c>
      <c r="K162">
        <v>13.964718919349499</v>
      </c>
      <c r="L162">
        <v>1340.12308859825</v>
      </c>
      <c r="M162">
        <v>1340.12308859825</v>
      </c>
      <c r="N162" s="2">
        <v>7.6539312869230896E-5</v>
      </c>
      <c r="O162" s="3">
        <v>45833.995655219907</v>
      </c>
      <c r="P162" s="3">
        <v>45833.997489849535</v>
      </c>
      <c r="Q162" s="1" t="s">
        <v>184</v>
      </c>
      <c r="R162" s="1" t="s">
        <v>188</v>
      </c>
      <c r="T162">
        <f t="shared" si="2"/>
        <v>-20.691037904247992</v>
      </c>
    </row>
    <row r="163" spans="1:20" x14ac:dyDescent="0.3">
      <c r="A163">
        <v>162</v>
      </c>
      <c r="B163">
        <v>1</v>
      </c>
      <c r="C163">
        <v>1750895641.6373999</v>
      </c>
      <c r="D163">
        <v>1750895805.7792001</v>
      </c>
      <c r="E163">
        <v>164.14179451480399</v>
      </c>
      <c r="F163">
        <v>1750894335</v>
      </c>
      <c r="G163">
        <v>1750894462</v>
      </c>
      <c r="H163">
        <v>126.797</v>
      </c>
      <c r="I163">
        <v>37.344794514804597</v>
      </c>
      <c r="J163">
        <v>37.344794514804597</v>
      </c>
      <c r="K163">
        <v>25.671924967644198</v>
      </c>
      <c r="L163">
        <v>1343.7792024612399</v>
      </c>
      <c r="M163">
        <v>1343.7792024612399</v>
      </c>
      <c r="N163" s="2">
        <v>7.6748125941503202E-5</v>
      </c>
      <c r="O163" s="3">
        <v>45833.995852280095</v>
      </c>
      <c r="P163" s="3">
        <v>45833.997752071758</v>
      </c>
      <c r="Q163" s="1" t="s">
        <v>185</v>
      </c>
      <c r="R163" s="1" t="s">
        <v>189</v>
      </c>
      <c r="T163">
        <f t="shared" si="2"/>
        <v>-37.344794514803993</v>
      </c>
    </row>
    <row r="164" spans="1:20" x14ac:dyDescent="0.3">
      <c r="A164">
        <v>163</v>
      </c>
      <c r="B164">
        <v>3</v>
      </c>
      <c r="C164">
        <v>1750895770.4767699</v>
      </c>
      <c r="D164">
        <v>1750895944.0238199</v>
      </c>
      <c r="E164">
        <v>173.54704928117101</v>
      </c>
      <c r="F164">
        <v>1750894368</v>
      </c>
      <c r="G164">
        <v>1750894485</v>
      </c>
      <c r="H164">
        <v>117.224</v>
      </c>
      <c r="I164">
        <v>56.3230492811714</v>
      </c>
      <c r="J164">
        <v>56.3230492811714</v>
      </c>
      <c r="K164">
        <v>38.740479439345997</v>
      </c>
      <c r="L164">
        <v>1459.0238270759501</v>
      </c>
      <c r="M164">
        <v>1459.0238270759501</v>
      </c>
      <c r="N164" s="2">
        <v>8.3330162478208707E-5</v>
      </c>
      <c r="O164" s="3">
        <v>45833.997343483796</v>
      </c>
      <c r="P164" s="3">
        <v>45833.999352129627</v>
      </c>
      <c r="Q164" s="1" t="s">
        <v>186</v>
      </c>
      <c r="R164" s="1" t="s">
        <v>190</v>
      </c>
      <c r="T164">
        <f t="shared" si="2"/>
        <v>-56.323049281171009</v>
      </c>
    </row>
    <row r="165" spans="1:20" x14ac:dyDescent="0.3">
      <c r="A165">
        <v>164</v>
      </c>
      <c r="B165">
        <v>2</v>
      </c>
      <c r="C165">
        <v>1750895783.12308</v>
      </c>
      <c r="D165">
        <v>1750895930.1726</v>
      </c>
      <c r="E165">
        <v>147.04951849734601</v>
      </c>
      <c r="F165">
        <v>1750894379</v>
      </c>
      <c r="G165">
        <v>1750894505</v>
      </c>
      <c r="H165">
        <v>125.82</v>
      </c>
      <c r="I165">
        <v>21.229518497346302</v>
      </c>
      <c r="J165">
        <v>21.229518497346302</v>
      </c>
      <c r="K165">
        <v>15.5601978661847</v>
      </c>
      <c r="L165">
        <v>1425.1726071834501</v>
      </c>
      <c r="M165">
        <v>1425.1726071834501</v>
      </c>
      <c r="N165" s="2">
        <v>8.1396795928663694E-5</v>
      </c>
      <c r="O165" s="3">
        <v>45833.997489849535</v>
      </c>
      <c r="P165" s="3">
        <v>45833.999191817129</v>
      </c>
      <c r="Q165" s="1" t="s">
        <v>187</v>
      </c>
      <c r="R165" s="1" t="s">
        <v>191</v>
      </c>
      <c r="T165">
        <f t="shared" si="2"/>
        <v>-21.229518497346021</v>
      </c>
    </row>
    <row r="166" spans="1:20" x14ac:dyDescent="0.3">
      <c r="A166">
        <v>165</v>
      </c>
      <c r="B166">
        <v>1</v>
      </c>
      <c r="C166">
        <v>1750895805.7792001</v>
      </c>
      <c r="D166">
        <v>1750895957.45682</v>
      </c>
      <c r="E166">
        <v>151.67761839174301</v>
      </c>
      <c r="F166">
        <v>1750894443</v>
      </c>
      <c r="G166">
        <v>1750894583</v>
      </c>
      <c r="H166">
        <v>140.08600000000001</v>
      </c>
      <c r="I166">
        <v>11.5916183917439</v>
      </c>
      <c r="J166">
        <v>11.5916183917439</v>
      </c>
      <c r="K166">
        <v>7.9458970625872496</v>
      </c>
      <c r="L166">
        <v>1374.45682096481</v>
      </c>
      <c r="M166">
        <v>1374.45682096481</v>
      </c>
      <c r="N166" s="2">
        <v>7.8500230387024193E-5</v>
      </c>
      <c r="O166" s="3">
        <v>45833.997752071758</v>
      </c>
      <c r="P166" s="3">
        <v>45833.999507604167</v>
      </c>
      <c r="Q166" s="1" t="s">
        <v>188</v>
      </c>
      <c r="R166" s="1" t="s">
        <v>192</v>
      </c>
      <c r="T166">
        <f t="shared" si="2"/>
        <v>-11.591618391742998</v>
      </c>
    </row>
    <row r="167" spans="1:20" x14ac:dyDescent="0.3">
      <c r="A167">
        <v>166</v>
      </c>
      <c r="B167">
        <v>2</v>
      </c>
      <c r="C167">
        <v>1750895930.1726</v>
      </c>
      <c r="D167">
        <v>1750896092.38537</v>
      </c>
      <c r="E167">
        <v>162.212765789</v>
      </c>
      <c r="F167">
        <v>1750894462</v>
      </c>
      <c r="G167">
        <v>1750894574</v>
      </c>
      <c r="H167">
        <v>111.32</v>
      </c>
      <c r="I167">
        <v>50.892765789000897</v>
      </c>
      <c r="J167">
        <v>50.892765789000897</v>
      </c>
      <c r="K167">
        <v>37.211458482643899</v>
      </c>
      <c r="L167">
        <v>1518.3853728771201</v>
      </c>
      <c r="M167">
        <v>1518.3853728771201</v>
      </c>
      <c r="N167" s="2">
        <v>8.6720510592052698E-5</v>
      </c>
      <c r="O167" s="3">
        <v>45833.999191817129</v>
      </c>
      <c r="P167" s="3">
        <v>45834.001069270831</v>
      </c>
      <c r="Q167" s="1" t="s">
        <v>189</v>
      </c>
      <c r="R167" s="1" t="s">
        <v>193</v>
      </c>
      <c r="T167">
        <f t="shared" si="2"/>
        <v>-50.892765789000009</v>
      </c>
    </row>
    <row r="168" spans="1:20" x14ac:dyDescent="0.3">
      <c r="A168">
        <v>167</v>
      </c>
      <c r="B168">
        <v>3</v>
      </c>
      <c r="C168">
        <v>1750895944.0238199</v>
      </c>
      <c r="D168">
        <v>1750896099.2296801</v>
      </c>
      <c r="E168">
        <v>155.205857746341</v>
      </c>
      <c r="F168">
        <v>1750894485</v>
      </c>
      <c r="G168">
        <v>1750894619</v>
      </c>
      <c r="H168">
        <v>133.09800000000001</v>
      </c>
      <c r="I168">
        <v>22.107857746341399</v>
      </c>
      <c r="J168">
        <v>22.107857746341399</v>
      </c>
      <c r="K168">
        <v>15.336498040059199</v>
      </c>
      <c r="L168">
        <v>1480.2296848297101</v>
      </c>
      <c r="M168">
        <v>1480.2296848297101</v>
      </c>
      <c r="N168" s="2">
        <v>8.4541299234354894E-5</v>
      </c>
      <c r="O168" s="3">
        <v>45833.999352129627</v>
      </c>
      <c r="P168" s="3">
        <v>45834.001148495372</v>
      </c>
      <c r="Q168" s="1" t="s">
        <v>190</v>
      </c>
      <c r="R168" s="1" t="s">
        <v>194</v>
      </c>
      <c r="T168">
        <f t="shared" si="2"/>
        <v>-22.107857746340983</v>
      </c>
    </row>
    <row r="169" spans="1:20" x14ac:dyDescent="0.3">
      <c r="A169">
        <v>168</v>
      </c>
      <c r="B169">
        <v>1</v>
      </c>
      <c r="C169">
        <v>1750895957.45682</v>
      </c>
      <c r="D169">
        <v>1750896115.5490601</v>
      </c>
      <c r="E169">
        <v>158.09224793026399</v>
      </c>
      <c r="F169">
        <v>1750894505</v>
      </c>
      <c r="G169">
        <v>1750894593</v>
      </c>
      <c r="H169">
        <v>87.87</v>
      </c>
      <c r="I169">
        <v>70.222247930264302</v>
      </c>
      <c r="J169">
        <v>70.222247930264302</v>
      </c>
      <c r="K169">
        <v>57.100021260314598</v>
      </c>
      <c r="L169">
        <v>1522.5490689277599</v>
      </c>
      <c r="M169">
        <v>1522.5490689277599</v>
      </c>
      <c r="N169" s="2">
        <v>8.6958313368683097E-5</v>
      </c>
      <c r="O169" s="3">
        <v>45833.999507604167</v>
      </c>
      <c r="P169" s="3">
        <v>45834.001337372683</v>
      </c>
      <c r="Q169" s="1" t="s">
        <v>191</v>
      </c>
      <c r="R169" s="1" t="s">
        <v>195</v>
      </c>
      <c r="T169">
        <f t="shared" si="2"/>
        <v>-70.22224793026399</v>
      </c>
    </row>
    <row r="170" spans="1:20" x14ac:dyDescent="0.3">
      <c r="A170">
        <v>169</v>
      </c>
      <c r="B170">
        <v>2</v>
      </c>
      <c r="C170">
        <v>1750896092.38537</v>
      </c>
      <c r="D170">
        <v>1750896254.5234599</v>
      </c>
      <c r="E170">
        <v>162.13809572352901</v>
      </c>
      <c r="F170">
        <v>1750894574</v>
      </c>
      <c r="G170">
        <v>1750894688</v>
      </c>
      <c r="H170">
        <v>114.59399999999999</v>
      </c>
      <c r="I170">
        <v>47.544095723529601</v>
      </c>
      <c r="J170">
        <v>47.544095723529601</v>
      </c>
      <c r="K170">
        <v>34.361099748276899</v>
      </c>
      <c r="L170">
        <v>1566.5234684944101</v>
      </c>
      <c r="M170">
        <v>1566.5234684944101</v>
      </c>
      <c r="N170" s="2">
        <v>8.9469845242419994E-5</v>
      </c>
      <c r="O170" s="3">
        <v>45834.001069270831</v>
      </c>
      <c r="P170" s="3">
        <v>45834.002945868058</v>
      </c>
      <c r="Q170" s="1" t="s">
        <v>193</v>
      </c>
      <c r="R170" s="1" t="s">
        <v>196</v>
      </c>
      <c r="T170">
        <f t="shared" si="2"/>
        <v>-47.544095723529011</v>
      </c>
    </row>
    <row r="171" spans="1:20" x14ac:dyDescent="0.3">
      <c r="A171">
        <v>170</v>
      </c>
      <c r="B171">
        <v>3</v>
      </c>
      <c r="C171">
        <v>1750896099.2296801</v>
      </c>
      <c r="D171">
        <v>1750896267.6630599</v>
      </c>
      <c r="E171">
        <v>168.433383932292</v>
      </c>
      <c r="F171">
        <v>1750894583</v>
      </c>
      <c r="G171">
        <v>1750894692</v>
      </c>
      <c r="H171">
        <v>108.28700000000001</v>
      </c>
      <c r="I171">
        <v>60.146383932291997</v>
      </c>
      <c r="J171">
        <v>60.146383932291997</v>
      </c>
      <c r="K171">
        <v>43.470873433746497</v>
      </c>
      <c r="L171">
        <v>1575.66306877136</v>
      </c>
      <c r="M171">
        <v>1575.66306877136</v>
      </c>
      <c r="N171" s="2">
        <v>8.9991840570801304E-5</v>
      </c>
      <c r="O171" s="3">
        <v>45834.001148495372</v>
      </c>
      <c r="P171" s="3">
        <v>45834.00309795139</v>
      </c>
      <c r="Q171" s="1" t="s">
        <v>192</v>
      </c>
      <c r="R171" s="1" t="s">
        <v>197</v>
      </c>
      <c r="T171">
        <f t="shared" si="2"/>
        <v>-60.146383932291997</v>
      </c>
    </row>
    <row r="172" spans="1:20" x14ac:dyDescent="0.3">
      <c r="A172">
        <v>171</v>
      </c>
      <c r="B172">
        <v>1</v>
      </c>
      <c r="C172">
        <v>1750896115.5490601</v>
      </c>
      <c r="D172">
        <v>1750896266.65538</v>
      </c>
      <c r="E172">
        <v>151.10631612207399</v>
      </c>
      <c r="F172">
        <v>1750894593</v>
      </c>
      <c r="G172">
        <v>1750894706</v>
      </c>
      <c r="H172">
        <v>112.819</v>
      </c>
      <c r="I172">
        <v>38.287316122074301</v>
      </c>
      <c r="J172">
        <v>38.287316122074301</v>
      </c>
      <c r="K172">
        <v>29.013750317430802</v>
      </c>
      <c r="L172">
        <v>1560.65538501739</v>
      </c>
      <c r="M172">
        <v>1560.65538501739</v>
      </c>
      <c r="N172" s="2">
        <v>8.9134696913902906E-5</v>
      </c>
      <c r="O172" s="3">
        <v>45834.001337372683</v>
      </c>
      <c r="P172" s="3">
        <v>45834.00308628472</v>
      </c>
      <c r="Q172" s="1" t="s">
        <v>195</v>
      </c>
      <c r="R172" s="1" t="s">
        <v>198</v>
      </c>
      <c r="T172">
        <f t="shared" si="2"/>
        <v>-38.287316122073989</v>
      </c>
    </row>
    <row r="173" spans="1:20" x14ac:dyDescent="0.3">
      <c r="A173">
        <v>172</v>
      </c>
      <c r="B173">
        <v>2</v>
      </c>
      <c r="C173">
        <v>1750896254.5234599</v>
      </c>
      <c r="D173">
        <v>1750896442.8439701</v>
      </c>
      <c r="E173">
        <v>188.32050704776199</v>
      </c>
      <c r="F173">
        <v>1750894619</v>
      </c>
      <c r="G173">
        <v>1750894740</v>
      </c>
      <c r="H173">
        <v>121.629</v>
      </c>
      <c r="I173">
        <v>66.6915070477623</v>
      </c>
      <c r="J173">
        <v>66.6915070477623</v>
      </c>
      <c r="K173">
        <v>43.033788105031803</v>
      </c>
      <c r="L173">
        <v>1702.8439755439699</v>
      </c>
      <c r="M173">
        <v>1702.8439755439699</v>
      </c>
      <c r="N173" s="2">
        <v>9.7255597871544796E-5</v>
      </c>
      <c r="O173" s="3">
        <v>45834.002945868058</v>
      </c>
      <c r="P173" s="3">
        <v>45834.005125509262</v>
      </c>
      <c r="Q173" s="1" t="s">
        <v>194</v>
      </c>
      <c r="R173" s="1" t="s">
        <v>199</v>
      </c>
      <c r="T173">
        <f t="shared" si="2"/>
        <v>-66.691507047761988</v>
      </c>
    </row>
    <row r="174" spans="1:20" x14ac:dyDescent="0.3">
      <c r="A174">
        <v>173</v>
      </c>
      <c r="B174">
        <v>1</v>
      </c>
      <c r="C174">
        <v>1750896266.65538</v>
      </c>
      <c r="D174">
        <v>1750896438.98139</v>
      </c>
      <c r="E174">
        <v>172.32600628395301</v>
      </c>
      <c r="F174">
        <v>1750894688</v>
      </c>
      <c r="G174">
        <v>1750894800</v>
      </c>
      <c r="H174">
        <v>112.129</v>
      </c>
      <c r="I174">
        <v>60.197006283953797</v>
      </c>
      <c r="J174">
        <v>60.197006283953797</v>
      </c>
      <c r="K174">
        <v>42.324448474542102</v>
      </c>
      <c r="L174">
        <v>1638.98139119148</v>
      </c>
      <c r="M174">
        <v>1638.98139119148</v>
      </c>
      <c r="N174" s="2">
        <v>9.3608172465942503E-5</v>
      </c>
      <c r="O174" s="3">
        <v>45834.00308628472</v>
      </c>
      <c r="P174" s="3">
        <v>45834.005080798612</v>
      </c>
      <c r="Q174" s="1" t="s">
        <v>196</v>
      </c>
      <c r="R174" s="1" t="s">
        <v>200</v>
      </c>
      <c r="T174">
        <f t="shared" si="2"/>
        <v>-60.197006283953002</v>
      </c>
    </row>
    <row r="175" spans="1:20" x14ac:dyDescent="0.3">
      <c r="A175">
        <v>174</v>
      </c>
      <c r="B175">
        <v>3</v>
      </c>
      <c r="C175">
        <v>1750896267.6630599</v>
      </c>
      <c r="D175">
        <v>1750896427.24771</v>
      </c>
      <c r="E175">
        <v>159.584645581122</v>
      </c>
      <c r="F175">
        <v>1750894692</v>
      </c>
      <c r="G175">
        <v>1750894718</v>
      </c>
      <c r="H175">
        <v>26.492000000000001</v>
      </c>
      <c r="I175">
        <v>133.09264558112201</v>
      </c>
      <c r="J175">
        <v>133.09264558112201</v>
      </c>
      <c r="K175">
        <v>143.05142396077699</v>
      </c>
      <c r="L175">
        <v>1709.2477142810801</v>
      </c>
      <c r="M175">
        <v>1709.2477142810801</v>
      </c>
      <c r="N175" s="2">
        <v>9.7621339673595599E-5</v>
      </c>
      <c r="O175" s="3">
        <v>45834.00309795139</v>
      </c>
      <c r="P175" s="3">
        <v>45834.004945000001</v>
      </c>
      <c r="Q175" s="1" t="s">
        <v>197</v>
      </c>
      <c r="R175" s="1" t="s">
        <v>201</v>
      </c>
      <c r="T175">
        <f t="shared" si="2"/>
        <v>-133.09264558112201</v>
      </c>
    </row>
    <row r="176" spans="1:20" x14ac:dyDescent="0.3">
      <c r="A176">
        <v>175</v>
      </c>
      <c r="B176">
        <v>3</v>
      </c>
      <c r="C176">
        <v>1750896427.24771</v>
      </c>
      <c r="D176">
        <v>1750896574.00862</v>
      </c>
      <c r="E176">
        <v>146.76090638038599</v>
      </c>
      <c r="F176">
        <v>1750894706</v>
      </c>
      <c r="G176">
        <v>1750894787</v>
      </c>
      <c r="H176">
        <v>81.837999999999994</v>
      </c>
      <c r="I176">
        <v>64.922906380386905</v>
      </c>
      <c r="J176">
        <v>64.922906380386905</v>
      </c>
      <c r="K176">
        <v>56.800714761386999</v>
      </c>
      <c r="L176">
        <v>1787.00862073898</v>
      </c>
      <c r="M176">
        <v>1787.00862073898</v>
      </c>
      <c r="N176">
        <v>1.02062540940432E-4</v>
      </c>
      <c r="O176" s="3">
        <v>45834.004945000001</v>
      </c>
      <c r="P176" s="3">
        <v>45834.006643622684</v>
      </c>
      <c r="Q176" s="1" t="s">
        <v>198</v>
      </c>
      <c r="R176" s="1" t="s">
        <v>202</v>
      </c>
      <c r="T176">
        <f t="shared" si="2"/>
        <v>-64.922906380385996</v>
      </c>
    </row>
    <row r="177" spans="1:20" x14ac:dyDescent="0.3">
      <c r="A177">
        <v>176</v>
      </c>
      <c r="B177">
        <v>1</v>
      </c>
      <c r="C177">
        <v>1750896438.98139</v>
      </c>
      <c r="D177">
        <v>1750896587.7167799</v>
      </c>
      <c r="E177">
        <v>148.73538872751399</v>
      </c>
      <c r="F177">
        <v>1750894718</v>
      </c>
      <c r="G177">
        <v>1750894825</v>
      </c>
      <c r="H177">
        <v>106.398</v>
      </c>
      <c r="I177">
        <v>42.337388727514302</v>
      </c>
      <c r="J177">
        <v>42.337388727514302</v>
      </c>
      <c r="K177">
        <v>33.188434441037501</v>
      </c>
      <c r="L177">
        <v>1762.71677994728</v>
      </c>
      <c r="M177">
        <v>1762.71677994728</v>
      </c>
      <c r="N177">
        <v>1.00675144358739E-4</v>
      </c>
      <c r="O177" s="3">
        <v>45834.005080798612</v>
      </c>
      <c r="P177" s="3">
        <v>45834.006802280092</v>
      </c>
      <c r="Q177" s="1" t="s">
        <v>201</v>
      </c>
      <c r="R177" s="1" t="s">
        <v>203</v>
      </c>
      <c r="T177">
        <f t="shared" si="2"/>
        <v>-42.337388727513996</v>
      </c>
    </row>
    <row r="178" spans="1:20" x14ac:dyDescent="0.3">
      <c r="A178">
        <v>177</v>
      </c>
      <c r="B178">
        <v>2</v>
      </c>
      <c r="C178">
        <v>1750896442.8439701</v>
      </c>
      <c r="D178">
        <v>1750896554.5188301</v>
      </c>
      <c r="E178">
        <v>111.67486402490201</v>
      </c>
      <c r="F178">
        <v>1750894740</v>
      </c>
      <c r="G178">
        <v>1750894878</v>
      </c>
      <c r="H178">
        <v>137.52500000000001</v>
      </c>
      <c r="I178">
        <v>-25.850135975097501</v>
      </c>
      <c r="J178">
        <v>25.850135975097501</v>
      </c>
      <c r="K178">
        <v>20.7465088925685</v>
      </c>
      <c r="L178">
        <v>1676.5188395977</v>
      </c>
      <c r="M178">
        <v>1676.5188395977</v>
      </c>
      <c r="N178" s="2">
        <v>9.5752067015126603E-5</v>
      </c>
      <c r="O178" s="3">
        <v>45834.005125509262</v>
      </c>
      <c r="P178" s="3">
        <v>45834.00641804398</v>
      </c>
      <c r="Q178" s="1" t="s">
        <v>199</v>
      </c>
      <c r="R178" s="1" t="s">
        <v>204</v>
      </c>
      <c r="T178">
        <f t="shared" si="2"/>
        <v>25.850135975097999</v>
      </c>
    </row>
    <row r="179" spans="1:20" x14ac:dyDescent="0.3">
      <c r="A179">
        <v>178</v>
      </c>
      <c r="B179">
        <v>2</v>
      </c>
      <c r="C179">
        <v>1750896554.5188301</v>
      </c>
      <c r="D179">
        <v>1750896699.2132101</v>
      </c>
      <c r="E179">
        <v>144.69437270660799</v>
      </c>
      <c r="F179">
        <v>1750894787</v>
      </c>
      <c r="G179">
        <v>1750894935</v>
      </c>
      <c r="H179">
        <v>147.929</v>
      </c>
      <c r="I179">
        <v>-3.2346272933920002</v>
      </c>
      <c r="J179">
        <v>3.2346272933920002</v>
      </c>
      <c r="K179">
        <v>2.2107784921439801</v>
      </c>
      <c r="L179">
        <v>1764.21321225166</v>
      </c>
      <c r="M179">
        <v>1764.21321225166</v>
      </c>
      <c r="N179">
        <v>1.0076060465819501E-4</v>
      </c>
      <c r="O179" s="3">
        <v>45834.00641804398</v>
      </c>
      <c r="P179" s="3">
        <v>45834.008092743054</v>
      </c>
      <c r="Q179" s="1" t="s">
        <v>202</v>
      </c>
      <c r="R179" s="1" t="s">
        <v>205</v>
      </c>
      <c r="T179">
        <f t="shared" si="2"/>
        <v>3.2346272933920091</v>
      </c>
    </row>
    <row r="180" spans="1:20" x14ac:dyDescent="0.3">
      <c r="A180">
        <v>179</v>
      </c>
      <c r="B180">
        <v>3</v>
      </c>
      <c r="C180">
        <v>1750896574.00862</v>
      </c>
      <c r="D180">
        <v>1750896693.23086</v>
      </c>
      <c r="E180">
        <v>119.22224236419</v>
      </c>
      <c r="F180">
        <v>1750894800</v>
      </c>
      <c r="G180">
        <v>1750895020</v>
      </c>
      <c r="H180">
        <v>219.739</v>
      </c>
      <c r="I180">
        <v>-100.516757635809</v>
      </c>
      <c r="J180">
        <v>100.516757635809</v>
      </c>
      <c r="K180">
        <v>59.308702632031597</v>
      </c>
      <c r="L180">
        <v>1673.2308630943201</v>
      </c>
      <c r="M180">
        <v>1673.2308630943201</v>
      </c>
      <c r="N180" s="2">
        <v>9.5564271099982302E-5</v>
      </c>
      <c r="O180" s="3">
        <v>45834.006643622684</v>
      </c>
      <c r="P180" s="3">
        <v>45834.008023506947</v>
      </c>
      <c r="Q180" s="1" t="s">
        <v>200</v>
      </c>
      <c r="R180" s="1" t="s">
        <v>206</v>
      </c>
      <c r="T180">
        <f t="shared" si="2"/>
        <v>100.51675763581001</v>
      </c>
    </row>
    <row r="181" spans="1:20" x14ac:dyDescent="0.3">
      <c r="A181">
        <v>180</v>
      </c>
      <c r="B181">
        <v>1</v>
      </c>
      <c r="C181">
        <v>1750896587.7167799</v>
      </c>
      <c r="D181">
        <v>1750896747.29215</v>
      </c>
      <c r="E181">
        <v>159.575375445319</v>
      </c>
      <c r="F181">
        <v>1750894825</v>
      </c>
      <c r="G181">
        <v>1750894926</v>
      </c>
      <c r="H181">
        <v>100.944</v>
      </c>
      <c r="I181">
        <v>58.6313754453193</v>
      </c>
      <c r="J181">
        <v>58.6313754453193</v>
      </c>
      <c r="K181">
        <v>45.011143869892699</v>
      </c>
      <c r="L181">
        <v>1821.2921555042201</v>
      </c>
      <c r="M181">
        <v>1821.2921555042201</v>
      </c>
      <c r="N181">
        <v>1.0402058862582E-4</v>
      </c>
      <c r="O181" s="3">
        <v>45834.006802280092</v>
      </c>
      <c r="P181" s="3">
        <v>45834.008649212963</v>
      </c>
      <c r="Q181" s="1" t="s">
        <v>203</v>
      </c>
      <c r="R181" s="1" t="s">
        <v>207</v>
      </c>
      <c r="T181">
        <f t="shared" si="2"/>
        <v>-58.631375445318994</v>
      </c>
    </row>
    <row r="182" spans="1:20" x14ac:dyDescent="0.3">
      <c r="A182">
        <v>181</v>
      </c>
      <c r="B182">
        <v>3</v>
      </c>
      <c r="C182">
        <v>1750896693.23086</v>
      </c>
      <c r="D182">
        <v>1750896844.53282</v>
      </c>
      <c r="E182">
        <v>151.30196653981</v>
      </c>
      <c r="F182">
        <v>1750894878</v>
      </c>
      <c r="G182">
        <v>1750894985</v>
      </c>
      <c r="H182">
        <v>107.527</v>
      </c>
      <c r="I182">
        <v>43.774966539810499</v>
      </c>
      <c r="J182">
        <v>43.774966539810499</v>
      </c>
      <c r="K182">
        <v>33.825399934962398</v>
      </c>
      <c r="L182">
        <v>1859.53282952308</v>
      </c>
      <c r="M182">
        <v>1859.53282952308</v>
      </c>
      <c r="N182">
        <v>1.06204647223199E-4</v>
      </c>
      <c r="O182" s="3">
        <v>45834.008023506947</v>
      </c>
      <c r="P182" s="3">
        <v>45834.009774687504</v>
      </c>
      <c r="Q182" s="1" t="s">
        <v>204</v>
      </c>
      <c r="R182" s="1" t="s">
        <v>208</v>
      </c>
      <c r="T182">
        <f t="shared" si="2"/>
        <v>-43.774966539809995</v>
      </c>
    </row>
    <row r="183" spans="1:20" x14ac:dyDescent="0.3">
      <c r="A183">
        <v>182</v>
      </c>
      <c r="B183">
        <v>2</v>
      </c>
      <c r="C183">
        <v>1750896699.2132101</v>
      </c>
      <c r="D183">
        <v>1750896844.37042</v>
      </c>
      <c r="E183">
        <v>145.15721537322301</v>
      </c>
      <c r="F183">
        <v>1750894926</v>
      </c>
      <c r="G183">
        <v>1750895033</v>
      </c>
      <c r="H183">
        <v>107.712</v>
      </c>
      <c r="I183">
        <v>37.445215373223398</v>
      </c>
      <c r="J183">
        <v>37.445215373223398</v>
      </c>
      <c r="K183">
        <v>29.6162704645213</v>
      </c>
      <c r="L183">
        <v>1811.37042760849</v>
      </c>
      <c r="M183">
        <v>1811.37042760849</v>
      </c>
      <c r="N183">
        <v>1.03453916796944E-4</v>
      </c>
      <c r="O183" s="3">
        <v>45834.008092743054</v>
      </c>
      <c r="P183" s="3">
        <v>45834.009772800928</v>
      </c>
      <c r="Q183" s="1" t="s">
        <v>207</v>
      </c>
      <c r="R183" s="1" t="s">
        <v>209</v>
      </c>
      <c r="T183">
        <f t="shared" si="2"/>
        <v>-37.445215373223007</v>
      </c>
    </row>
    <row r="184" spans="1:20" x14ac:dyDescent="0.3">
      <c r="A184">
        <v>183</v>
      </c>
      <c r="B184">
        <v>1</v>
      </c>
      <c r="C184">
        <v>1750896747.29215</v>
      </c>
      <c r="D184">
        <v>1750896901.16764</v>
      </c>
      <c r="E184">
        <v>153.87549293695699</v>
      </c>
      <c r="F184">
        <v>1750894935</v>
      </c>
      <c r="G184">
        <v>1750895033</v>
      </c>
      <c r="H184">
        <v>98.052999999999997</v>
      </c>
      <c r="I184">
        <v>55.8224929369579</v>
      </c>
      <c r="J184">
        <v>55.8224929369579</v>
      </c>
      <c r="K184">
        <v>44.316140890762</v>
      </c>
      <c r="L184">
        <v>1868.1676485538401</v>
      </c>
      <c r="M184">
        <v>1868.1676485538401</v>
      </c>
      <c r="N184">
        <v>1.06697809788513E-4</v>
      </c>
      <c r="O184" s="3">
        <v>45834.008649212963</v>
      </c>
      <c r="P184" s="3">
        <v>45834.010430185182</v>
      </c>
      <c r="Q184" s="1" t="s">
        <v>205</v>
      </c>
      <c r="R184" s="1" t="s">
        <v>209</v>
      </c>
      <c r="T184">
        <f t="shared" si="2"/>
        <v>-55.822492936956991</v>
      </c>
    </row>
    <row r="185" spans="1:20" x14ac:dyDescent="0.3">
      <c r="A185">
        <v>184</v>
      </c>
      <c r="B185">
        <v>2</v>
      </c>
      <c r="C185">
        <v>1750896844.37042</v>
      </c>
      <c r="D185">
        <v>1750896981.90238</v>
      </c>
      <c r="E185">
        <v>137.53196050298399</v>
      </c>
      <c r="F185">
        <v>1750894985</v>
      </c>
      <c r="G185">
        <v>1750895093</v>
      </c>
      <c r="H185">
        <v>108.124</v>
      </c>
      <c r="I185">
        <v>29.407960502984398</v>
      </c>
      <c r="J185">
        <v>29.407960502984398</v>
      </c>
      <c r="K185">
        <v>23.942395244773301</v>
      </c>
      <c r="L185">
        <v>1888.90238809585</v>
      </c>
      <c r="M185">
        <v>1888.90238809585</v>
      </c>
      <c r="N185">
        <v>1.0788204140581399E-4</v>
      </c>
      <c r="O185" s="3">
        <v>45834.009772800928</v>
      </c>
      <c r="P185" s="3">
        <v>45834.011364606478</v>
      </c>
      <c r="Q185" s="1" t="s">
        <v>208</v>
      </c>
      <c r="R185" s="1" t="s">
        <v>210</v>
      </c>
      <c r="T185">
        <f t="shared" si="2"/>
        <v>-29.407960502983997</v>
      </c>
    </row>
    <row r="186" spans="1:20" x14ac:dyDescent="0.3">
      <c r="A186">
        <v>185</v>
      </c>
      <c r="B186">
        <v>3</v>
      </c>
      <c r="C186">
        <v>1750896844.53282</v>
      </c>
      <c r="D186">
        <v>1750897119.1294899</v>
      </c>
      <c r="E186">
        <v>274.59666516905401</v>
      </c>
      <c r="F186">
        <v>1750895020</v>
      </c>
      <c r="G186">
        <v>1750895156</v>
      </c>
      <c r="H186">
        <v>135.864</v>
      </c>
      <c r="I186">
        <v>138.732665169054</v>
      </c>
      <c r="J186">
        <v>138.732665169054</v>
      </c>
      <c r="K186">
        <v>67.598518904078404</v>
      </c>
      <c r="L186">
        <v>1963.12949466705</v>
      </c>
      <c r="M186">
        <v>1963.12949466705</v>
      </c>
      <c r="N186">
        <v>1.12121413289396E-4</v>
      </c>
      <c r="O186" s="3">
        <v>45834.009774687504</v>
      </c>
      <c r="P186" s="3">
        <v>45834.012952881945</v>
      </c>
      <c r="Q186" s="1" t="s">
        <v>206</v>
      </c>
      <c r="R186" s="1" t="s">
        <v>211</v>
      </c>
      <c r="T186">
        <f t="shared" si="2"/>
        <v>-138.732665169054</v>
      </c>
    </row>
    <row r="187" spans="1:20" x14ac:dyDescent="0.3">
      <c r="A187">
        <v>186</v>
      </c>
      <c r="B187">
        <v>1</v>
      </c>
      <c r="C187">
        <v>1750896901.16764</v>
      </c>
      <c r="D187">
        <v>1750897078.73207</v>
      </c>
      <c r="E187">
        <v>177.56442287560299</v>
      </c>
      <c r="F187">
        <v>1750895033</v>
      </c>
      <c r="G187">
        <v>1750895173</v>
      </c>
      <c r="H187">
        <v>139.435</v>
      </c>
      <c r="I187">
        <v>38.129422875602998</v>
      </c>
      <c r="J187">
        <v>38.129422875602998</v>
      </c>
      <c r="K187">
        <v>24.056462014800399</v>
      </c>
      <c r="L187">
        <v>1905.7320713996801</v>
      </c>
      <c r="M187">
        <v>1905.7320713996801</v>
      </c>
      <c r="N187">
        <v>1.0884323994132199E-4</v>
      </c>
      <c r="O187" s="3">
        <v>45834.010430185182</v>
      </c>
      <c r="P187" s="3">
        <v>45834.01248532407</v>
      </c>
      <c r="Q187" s="1" t="s">
        <v>209</v>
      </c>
      <c r="R187" s="1" t="s">
        <v>212</v>
      </c>
      <c r="T187">
        <f t="shared" si="2"/>
        <v>-38.129422875602984</v>
      </c>
    </row>
    <row r="188" spans="1:20" x14ac:dyDescent="0.3">
      <c r="A188">
        <v>187</v>
      </c>
      <c r="B188">
        <v>2</v>
      </c>
      <c r="C188">
        <v>1750896981.90238</v>
      </c>
      <c r="D188">
        <v>1750897129.27246</v>
      </c>
      <c r="E188">
        <v>147.37007570152801</v>
      </c>
      <c r="F188">
        <v>1750895033</v>
      </c>
      <c r="G188">
        <v>1750895130</v>
      </c>
      <c r="H188">
        <v>96.68</v>
      </c>
      <c r="I188">
        <v>50.690075701528798</v>
      </c>
      <c r="J188">
        <v>50.690075701528798</v>
      </c>
      <c r="K188">
        <v>41.5407170481867</v>
      </c>
      <c r="L188">
        <v>1999.27246379852</v>
      </c>
      <c r="M188">
        <v>1999.27246379852</v>
      </c>
      <c r="N188">
        <v>1.1418566926719299E-4</v>
      </c>
      <c r="O188" s="3">
        <v>45834.011364606478</v>
      </c>
      <c r="P188" s="3">
        <v>45834.013070277775</v>
      </c>
      <c r="Q188" s="1" t="s">
        <v>209</v>
      </c>
      <c r="R188" s="1" t="s">
        <v>213</v>
      </c>
      <c r="T188">
        <f t="shared" si="2"/>
        <v>-50.690075701528002</v>
      </c>
    </row>
    <row r="189" spans="1:20" x14ac:dyDescent="0.3">
      <c r="A189">
        <v>188</v>
      </c>
      <c r="B189">
        <v>1</v>
      </c>
      <c r="C189">
        <v>1750897078.73207</v>
      </c>
      <c r="D189">
        <v>1750897221.48754</v>
      </c>
      <c r="E189">
        <v>142.75547395905701</v>
      </c>
      <c r="F189">
        <v>1750895093</v>
      </c>
      <c r="G189">
        <v>1750895228</v>
      </c>
      <c r="H189">
        <v>134.81899999999999</v>
      </c>
      <c r="I189">
        <v>7.9364739590579898</v>
      </c>
      <c r="J189">
        <v>7.9364739590579898</v>
      </c>
      <c r="K189">
        <v>5.7184465457934097</v>
      </c>
      <c r="L189">
        <v>1993.4875452518399</v>
      </c>
      <c r="M189">
        <v>1993.4875452518399</v>
      </c>
      <c r="N189">
        <v>1.13855265496593E-4</v>
      </c>
      <c r="O189" s="3">
        <v>45834.01248532407</v>
      </c>
      <c r="P189" s="3">
        <v>45834.014137592596</v>
      </c>
      <c r="Q189" s="1" t="s">
        <v>210</v>
      </c>
      <c r="R189" s="1" t="s">
        <v>214</v>
      </c>
      <c r="T189">
        <f t="shared" si="2"/>
        <v>-7.9364739590570252</v>
      </c>
    </row>
    <row r="190" spans="1:20" x14ac:dyDescent="0.3">
      <c r="A190">
        <v>189</v>
      </c>
      <c r="B190">
        <v>3</v>
      </c>
      <c r="C190">
        <v>1750897119.1294899</v>
      </c>
      <c r="D190">
        <v>1750897274.6979899</v>
      </c>
      <c r="E190">
        <v>155.56850047481601</v>
      </c>
      <c r="F190">
        <v>1750895130</v>
      </c>
      <c r="G190">
        <v>1750895234</v>
      </c>
      <c r="H190">
        <v>103.7</v>
      </c>
      <c r="I190">
        <v>51.868500474816003</v>
      </c>
      <c r="J190">
        <v>51.868500474816003</v>
      </c>
      <c r="K190">
        <v>40.011417028929998</v>
      </c>
      <c r="L190">
        <v>2040.69799518585</v>
      </c>
      <c r="M190">
        <v>2040.69799518585</v>
      </c>
      <c r="N190">
        <v>1.16551622639949E-4</v>
      </c>
      <c r="O190" s="3">
        <v>45834.012952881945</v>
      </c>
      <c r="P190" s="3">
        <v>45834.014753449075</v>
      </c>
      <c r="Q190" s="1" t="s">
        <v>213</v>
      </c>
      <c r="R190" s="1" t="s">
        <v>215</v>
      </c>
      <c r="T190">
        <f t="shared" si="2"/>
        <v>-51.868500474816003</v>
      </c>
    </row>
    <row r="191" spans="1:20" x14ac:dyDescent="0.3">
      <c r="A191">
        <v>190</v>
      </c>
      <c r="B191">
        <v>2</v>
      </c>
      <c r="C191">
        <v>1750897129.27246</v>
      </c>
      <c r="D191">
        <v>1750897338.81445</v>
      </c>
      <c r="E191">
        <v>209.541986826141</v>
      </c>
      <c r="F191">
        <v>1750895156</v>
      </c>
      <c r="G191">
        <v>1750895292</v>
      </c>
      <c r="H191">
        <v>135.60499999999999</v>
      </c>
      <c r="I191">
        <v>73.936986826141293</v>
      </c>
      <c r="J191">
        <v>73.936986826141293</v>
      </c>
      <c r="K191">
        <v>42.8437678138474</v>
      </c>
      <c r="L191">
        <v>2046.8144507408099</v>
      </c>
      <c r="M191">
        <v>2046.8144507408099</v>
      </c>
      <c r="N191">
        <v>1.1690095140012599E-4</v>
      </c>
      <c r="O191" s="3">
        <v>45834.013070277775</v>
      </c>
      <c r="P191" s="3">
        <v>45834.015495532411</v>
      </c>
      <c r="Q191" s="1" t="s">
        <v>211</v>
      </c>
      <c r="R191" s="1" t="s">
        <v>216</v>
      </c>
      <c r="T191">
        <f t="shared" si="2"/>
        <v>-73.936986826141009</v>
      </c>
    </row>
    <row r="192" spans="1:20" x14ac:dyDescent="0.3">
      <c r="A192">
        <v>191</v>
      </c>
      <c r="B192">
        <v>1</v>
      </c>
      <c r="C192">
        <v>1750897221.48754</v>
      </c>
      <c r="D192">
        <v>1750897375.9484999</v>
      </c>
      <c r="E192">
        <v>154.46095930105699</v>
      </c>
      <c r="F192">
        <v>1750895173</v>
      </c>
      <c r="G192">
        <v>1750895283</v>
      </c>
      <c r="H192">
        <v>109.93600000000001</v>
      </c>
      <c r="I192">
        <v>44.524959301057798</v>
      </c>
      <c r="J192">
        <v>44.524959301057798</v>
      </c>
      <c r="K192">
        <v>33.6803868083514</v>
      </c>
      <c r="L192">
        <v>2092.9485044479302</v>
      </c>
      <c r="M192">
        <v>2092.9485044479302</v>
      </c>
      <c r="N192">
        <v>1.1953583254563E-4</v>
      </c>
      <c r="O192" s="3">
        <v>45834.014137592596</v>
      </c>
      <c r="P192" s="3">
        <v>45834.015925335647</v>
      </c>
      <c r="Q192" s="1" t="s">
        <v>212</v>
      </c>
      <c r="R192" s="1" t="s">
        <v>217</v>
      </c>
      <c r="T192">
        <f t="shared" si="2"/>
        <v>-44.524959301056981</v>
      </c>
    </row>
    <row r="193" spans="1:20" x14ac:dyDescent="0.3">
      <c r="A193">
        <v>192</v>
      </c>
      <c r="B193">
        <v>3</v>
      </c>
      <c r="C193">
        <v>1750897274.6979899</v>
      </c>
      <c r="D193">
        <v>1750897480.22774</v>
      </c>
      <c r="E193">
        <v>205.52975339213401</v>
      </c>
      <c r="F193">
        <v>1750895228</v>
      </c>
      <c r="G193">
        <v>1750895332</v>
      </c>
      <c r="H193">
        <v>103.33199999999999</v>
      </c>
      <c r="I193">
        <v>102.197753392134</v>
      </c>
      <c r="J193">
        <v>102.197753392134</v>
      </c>
      <c r="K193">
        <v>66.177020799582806</v>
      </c>
      <c r="L193">
        <v>2148.2277486324301</v>
      </c>
      <c r="M193">
        <v>2148.2277486324301</v>
      </c>
      <c r="N193">
        <v>1.2269302404934601E-4</v>
      </c>
      <c r="O193" s="3">
        <v>45834.014753449075</v>
      </c>
      <c r="P193" s="3">
        <v>45834.01713226852</v>
      </c>
      <c r="Q193" s="1" t="s">
        <v>214</v>
      </c>
      <c r="R193" s="1" t="s">
        <v>218</v>
      </c>
      <c r="T193">
        <f t="shared" si="2"/>
        <v>-102.19775339213402</v>
      </c>
    </row>
    <row r="194" spans="1:20" x14ac:dyDescent="0.3">
      <c r="A194">
        <v>193</v>
      </c>
      <c r="B194">
        <v>2</v>
      </c>
      <c r="C194">
        <v>1750897338.81445</v>
      </c>
      <c r="D194">
        <v>1750897496.3315899</v>
      </c>
      <c r="E194">
        <v>157.517143697916</v>
      </c>
      <c r="F194">
        <v>1750895234</v>
      </c>
      <c r="G194">
        <v>1750895334</v>
      </c>
      <c r="H194">
        <v>99.566999999999993</v>
      </c>
      <c r="I194">
        <v>57.950143697916197</v>
      </c>
      <c r="J194">
        <v>57.950143697916197</v>
      </c>
      <c r="K194">
        <v>45.082627706522302</v>
      </c>
      <c r="L194">
        <v>2162.3315944671599</v>
      </c>
      <c r="M194">
        <v>2162.3315944671599</v>
      </c>
      <c r="N194">
        <v>1.23498544844664E-4</v>
      </c>
      <c r="O194" s="3">
        <v>45834.015495532411</v>
      </c>
      <c r="P194" s="3">
        <v>45834.01731865741</v>
      </c>
      <c r="Q194" s="1" t="s">
        <v>215</v>
      </c>
      <c r="R194" s="1" t="s">
        <v>219</v>
      </c>
      <c r="T194">
        <f t="shared" si="2"/>
        <v>-57.950143697916005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Michalowski</dc:creator>
  <cp:lastModifiedBy>Szymon Michalowski</cp:lastModifiedBy>
  <dcterms:created xsi:type="dcterms:W3CDTF">2015-06-05T18:19:34Z</dcterms:created>
  <dcterms:modified xsi:type="dcterms:W3CDTF">2026-06-18T11:22:14Z</dcterms:modified>
</cp:coreProperties>
</file>